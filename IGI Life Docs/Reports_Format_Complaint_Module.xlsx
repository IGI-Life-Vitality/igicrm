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3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7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8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9.xml" ContentType="application/vnd.openxmlformats-officedocument.drawing+xml"/>
  <Override PartName="/xl/ctrlProps/ctrlProp41.xml" ContentType="application/vnd.ms-excel.controlproperties+xml"/>
  <Override PartName="/xl/drawings/drawing10.xml" ContentType="application/vnd.openxmlformats-officedocument.drawing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7496" windowHeight="7452" tabRatio="823" activeTab="1"/>
  </bookViews>
  <sheets>
    <sheet name="Index" sheetId="8" r:id="rId1"/>
    <sheet name="Mon-Qrt-Year Comparison" sheetId="1" r:id="rId2"/>
    <sheet name="Annual Comp Report" sheetId="3" r:id="rId3"/>
    <sheet name="DeptWise Complaint" sheetId="5" r:id="rId4"/>
    <sheet name="ComplaintChannelAnalysis" sheetId="15" r:id="rId5"/>
    <sheet name="Complaint Type Analysis" sheetId="6" r:id="rId6"/>
    <sheet name="Ageing Report" sheetId="7" r:id="rId7"/>
    <sheet name="Closure" sheetId="12" r:id="rId8"/>
    <sheet name="Complaint Summary Dept - ANNUAL" sheetId="13" r:id="rId9"/>
    <sheet name="Qtr Comp Summary" sheetId="14" r:id="rId10"/>
    <sheet name="BODYearly" sheetId="10" r:id="rId11"/>
    <sheet name="Drop Downs" sheetId="2" state="hidden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5" l="1"/>
  <c r="I28" i="15" s="1"/>
  <c r="K27" i="15" s="1"/>
  <c r="I29" i="15"/>
  <c r="I27" i="15"/>
  <c r="I26" i="15"/>
  <c r="I25" i="15"/>
  <c r="I24" i="15"/>
  <c r="I23" i="15"/>
  <c r="K23" i="15" s="1"/>
  <c r="I22" i="15"/>
  <c r="I21" i="15"/>
  <c r="I20" i="15"/>
  <c r="I30" i="15" s="1"/>
  <c r="K20" i="15" l="1"/>
  <c r="K30" i="15" s="1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14" i="14"/>
  <c r="Q20" i="10"/>
  <c r="Q24" i="10" s="1"/>
  <c r="Q17" i="10"/>
  <c r="E20" i="10"/>
  <c r="E17" i="10"/>
  <c r="F24" i="10"/>
  <c r="G24" i="10"/>
  <c r="H24" i="10"/>
  <c r="I24" i="10"/>
  <c r="J24" i="10"/>
  <c r="K24" i="10"/>
  <c r="L24" i="10"/>
  <c r="M24" i="10"/>
  <c r="N24" i="10"/>
  <c r="O24" i="10"/>
  <c r="P24" i="10"/>
  <c r="F38" i="10"/>
  <c r="F34" i="10"/>
  <c r="G34" i="10"/>
  <c r="H34" i="10"/>
  <c r="E34" i="10"/>
  <c r="F31" i="10"/>
  <c r="G31" i="10"/>
  <c r="G38" i="10" s="1"/>
  <c r="H31" i="10"/>
  <c r="H38" i="10" s="1"/>
  <c r="E31" i="10"/>
  <c r="E38" i="10" s="1"/>
  <c r="I30" i="6"/>
  <c r="K27" i="6"/>
  <c r="K30" i="6" s="1"/>
  <c r="K23" i="6"/>
  <c r="K20" i="6"/>
  <c r="I29" i="6"/>
  <c r="I28" i="6"/>
  <c r="I27" i="6"/>
  <c r="I25" i="6"/>
  <c r="I26" i="6"/>
  <c r="I24" i="6"/>
  <c r="I23" i="6"/>
  <c r="I22" i="6"/>
  <c r="I21" i="6"/>
  <c r="I20" i="6"/>
  <c r="G30" i="6"/>
  <c r="E24" i="10" l="1"/>
  <c r="G23" i="5"/>
  <c r="G22" i="5"/>
  <c r="G21" i="5"/>
  <c r="D24" i="5"/>
  <c r="G20" i="5"/>
  <c r="I16" i="3"/>
  <c r="I17" i="3"/>
  <c r="I18" i="3"/>
  <c r="I19" i="3"/>
  <c r="I20" i="3"/>
  <c r="I21" i="3"/>
  <c r="I22" i="3"/>
  <c r="I23" i="3"/>
  <c r="I24" i="3"/>
  <c r="I25" i="3"/>
  <c r="I26" i="3"/>
  <c r="I27" i="3"/>
  <c r="I15" i="3"/>
  <c r="G27" i="3"/>
  <c r="E27" i="3"/>
  <c r="I23" i="1"/>
  <c r="G24" i="5" l="1"/>
</calcChain>
</file>

<file path=xl/sharedStrings.xml><?xml version="1.0" encoding="utf-8"?>
<sst xmlns="http://schemas.openxmlformats.org/spreadsheetml/2006/main" count="451" uniqueCount="215">
  <si>
    <t>View</t>
  </si>
  <si>
    <t>Quarterly Comparison</t>
  </si>
  <si>
    <t>Monthly Comparison</t>
  </si>
  <si>
    <t>Yearly Comparison</t>
  </si>
  <si>
    <t>Month 1</t>
  </si>
  <si>
    <t>Month 2</t>
  </si>
  <si>
    <t>Quarter 1</t>
  </si>
  <si>
    <t>Quarter 2</t>
  </si>
  <si>
    <t>Year 1</t>
  </si>
  <si>
    <t>Year 2</t>
  </si>
  <si>
    <t>Month</t>
  </si>
  <si>
    <t>Duration 1</t>
  </si>
  <si>
    <t>Duration 2</t>
  </si>
  <si>
    <t>Duration</t>
  </si>
  <si>
    <t>Filter Section</t>
  </si>
  <si>
    <t>Complaints logged in duration</t>
  </si>
  <si>
    <t>Improvement</t>
  </si>
  <si>
    <t>Duration Type</t>
  </si>
  <si>
    <t>Total Pages</t>
  </si>
  <si>
    <t>(Countd1-Countd2)/(Countd1-Countd2)%</t>
  </si>
  <si>
    <t>15/04/2018 18:00</t>
  </si>
  <si>
    <t>Complaint Comparison Report</t>
  </si>
  <si>
    <t>&lt;Month 1 or Quarter1 or Year1 Value&gt;</t>
  </si>
  <si>
    <t>&lt;Month2 or Quarter2 or Year 2 Value&gt;</t>
  </si>
  <si>
    <t>Page 1 of 1</t>
  </si>
  <si>
    <t>Print Date/time</t>
  </si>
  <si>
    <t>Annual Complaint Comparison Report</t>
  </si>
  <si>
    <t>January</t>
  </si>
  <si>
    <t>&lt;Year 1&gt;</t>
  </si>
  <si>
    <t>&lt;Year 2&gt;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</si>
  <si>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</si>
  <si>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</si>
  <si>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</si>
  <si>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</si>
  <si>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</si>
  <si>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</si>
  <si>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</si>
  <si>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</si>
  <si>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</si>
  <si>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</si>
  <si>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</si>
  <si>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Improvement Formula</t>
  </si>
  <si>
    <t>A/B%</t>
  </si>
  <si>
    <t>A = (Complaints logged in Month 1-Complaint Logged in Month 2)</t>
  </si>
  <si>
    <t>B = (Complaints logged in Month 1+Complaint Logged in Month 2)</t>
  </si>
  <si>
    <t>Total</t>
  </si>
  <si>
    <t>Page 1 of 2</t>
  </si>
  <si>
    <t xml:space="preserve">Month </t>
  </si>
  <si>
    <t xml:space="preserve">Quarter </t>
  </si>
  <si>
    <t>Year</t>
  </si>
  <si>
    <t>Comparison</t>
  </si>
  <si>
    <t>Monthly</t>
  </si>
  <si>
    <t>Quarterly</t>
  </si>
  <si>
    <t>Yearly</t>
  </si>
  <si>
    <t>Department</t>
  </si>
  <si>
    <t>Department Wise Complaint Report</t>
  </si>
  <si>
    <t>Page 2 of 2</t>
  </si>
  <si>
    <t>All</t>
  </si>
  <si>
    <t>Department Name</t>
  </si>
  <si>
    <t>Complaints logged in &lt;Selected Duration&gt;</t>
  </si>
  <si>
    <t>Overall Percentage</t>
  </si>
  <si>
    <t>Customer Experience and Conversation</t>
  </si>
  <si>
    <t>Claims</t>
  </si>
  <si>
    <t>Agency Sales</t>
  </si>
  <si>
    <t>Bancassurance</t>
  </si>
  <si>
    <t>Complaint Type</t>
  </si>
  <si>
    <t>Compaint Type %</t>
  </si>
  <si>
    <t>Departmental%</t>
  </si>
  <si>
    <t>Delay in Policy Servicing</t>
  </si>
  <si>
    <t>Field Force Servicing issue</t>
  </si>
  <si>
    <t>Field Force Complaint</t>
  </si>
  <si>
    <t>Delay in Call Pickup</t>
  </si>
  <si>
    <t>Policy Servicing Issue in Bank</t>
  </si>
  <si>
    <t>Delay in Claim Settlement</t>
  </si>
  <si>
    <t>Others</t>
  </si>
  <si>
    <t>Delay in renewal invoice</t>
  </si>
  <si>
    <t>Late Premium Debit</t>
  </si>
  <si>
    <t>Lack of Policy Information</t>
  </si>
  <si>
    <t xml:space="preserve">Duration </t>
  </si>
  <si>
    <r>
      <t xml:space="preserve">Duration Type  </t>
    </r>
    <r>
      <rPr>
        <sz val="10"/>
        <color theme="1"/>
        <rFont val="Calibri"/>
        <family val="2"/>
        <scheme val="minor"/>
      </rPr>
      <t>Monthly</t>
    </r>
  </si>
  <si>
    <r>
      <t xml:space="preserve">Duration            </t>
    </r>
    <r>
      <rPr>
        <sz val="10"/>
        <color theme="1"/>
        <rFont val="Calibri"/>
        <family val="2"/>
        <scheme val="minor"/>
      </rPr>
      <t>Jan 2016</t>
    </r>
  </si>
  <si>
    <t>Complaint Type Wise Complaint Report</t>
  </si>
  <si>
    <t>Ticket #</t>
  </si>
  <si>
    <t>Registration Date</t>
  </si>
  <si>
    <t>Customer Name</t>
  </si>
  <si>
    <t>Contact No</t>
  </si>
  <si>
    <t>Logged By</t>
  </si>
  <si>
    <t xml:space="preserve">Department </t>
  </si>
  <si>
    <t>Assign To</t>
  </si>
  <si>
    <t>Priority/TAT</t>
  </si>
  <si>
    <t>Status</t>
  </si>
  <si>
    <t>Call center</t>
  </si>
  <si>
    <t>Nadia Kamal</t>
  </si>
  <si>
    <t>Agency Operations Support Team</t>
  </si>
  <si>
    <t>Agency Ops</t>
  </si>
  <si>
    <t>Shafi Mohammad</t>
  </si>
  <si>
    <t>Aijaz Saleem</t>
  </si>
  <si>
    <t>Intisar Ali</t>
  </si>
  <si>
    <t>Open</t>
  </si>
  <si>
    <t>Closed</t>
  </si>
  <si>
    <t>Shaheer Azim</t>
  </si>
  <si>
    <t>Farhan Najam</t>
  </si>
  <si>
    <t>Saba Hamid</t>
  </si>
  <si>
    <t>Delayed Invoicing</t>
  </si>
  <si>
    <t>Aging (Overdue)</t>
  </si>
  <si>
    <t>2 days</t>
  </si>
  <si>
    <t>3 Days</t>
  </si>
  <si>
    <t>Resolution Date</t>
  </si>
  <si>
    <t>TN#13034</t>
  </si>
  <si>
    <t>TN#10038</t>
  </si>
  <si>
    <t>TN#20021</t>
  </si>
  <si>
    <t>Ageing Report</t>
  </si>
  <si>
    <t>From Date</t>
  </si>
  <si>
    <t>To Date</t>
  </si>
  <si>
    <t>Source</t>
  </si>
  <si>
    <t>Print Date/Time</t>
  </si>
  <si>
    <t>Pages</t>
  </si>
  <si>
    <t>Filter Criteria</t>
  </si>
  <si>
    <t>Policy#</t>
  </si>
  <si>
    <t>Index</t>
  </si>
  <si>
    <t>IGI Life Reports</t>
  </si>
  <si>
    <t>Annual Complaint Report</t>
  </si>
  <si>
    <t>Department Wise Complaints</t>
  </si>
  <si>
    <t>Complaint Type wise Complaints</t>
  </si>
  <si>
    <t>Back to Index</t>
  </si>
  <si>
    <t>Board of Directors Quarterly Report</t>
  </si>
  <si>
    <t>Legal Complaint Closure Analysis</t>
  </si>
  <si>
    <t>Complaint - Quality Assurance</t>
  </si>
  <si>
    <t>Complaint - Customer Service and Operation</t>
  </si>
  <si>
    <t>Quarterly Department Complaint Analysis</t>
  </si>
  <si>
    <t>Forum</t>
  </si>
  <si>
    <t>Nature of Complaint</t>
  </si>
  <si>
    <t>Quarter-1 of 2017 
(Jan to Mar)</t>
  </si>
  <si>
    <t>Quarter-2 of 2017 
(Apr to Jun)</t>
  </si>
  <si>
    <t>Quarter-3 of 2017 
(Jul to Sep)</t>
  </si>
  <si>
    <t>Quarter-4 of 2017 
(Oct to Dec)</t>
  </si>
  <si>
    <t>Opening 2017</t>
  </si>
  <si>
    <t>Received</t>
  </si>
  <si>
    <t>CF</t>
  </si>
  <si>
    <t>Legal Notice</t>
  </si>
  <si>
    <t>Unsatisfied Policy Holder</t>
  </si>
  <si>
    <t>Fraud</t>
  </si>
  <si>
    <t>Federal Insurance Ombudsman</t>
  </si>
  <si>
    <t>SECP</t>
  </si>
  <si>
    <t>Other</t>
  </si>
  <si>
    <t>Grand Total</t>
  </si>
  <si>
    <t>Pending</t>
  </si>
  <si>
    <t>Year: 2018</t>
  </si>
  <si>
    <t>Quarterly Analysis</t>
  </si>
  <si>
    <t>Yearly Analysis</t>
  </si>
  <si>
    <t>Filter</t>
  </si>
  <si>
    <t>This report shall only consider records where 'Complaint Channel' is 'Legal/Fraudalent Complaints'</t>
  </si>
  <si>
    <t>The open complaints that New Quarter inherited from Previous one</t>
  </si>
  <si>
    <r>
      <t>Opening Year :</t>
    </r>
    <r>
      <rPr>
        <sz val="11"/>
        <color theme="1"/>
        <rFont val="Calibri"/>
        <family val="2"/>
        <scheme val="minor"/>
      </rPr>
      <t xml:space="preserve"> The open complaints that selected tear inherited from previous year</t>
    </r>
  </si>
  <si>
    <t>CF:</t>
  </si>
  <si>
    <t>Premium Collected</t>
  </si>
  <si>
    <t>Claimed by the policyholders</t>
  </si>
  <si>
    <t>Payments to policyholders</t>
  </si>
  <si>
    <t>Savings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</si>
  <si>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</si>
  <si>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</si>
  <si>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</si>
  <si>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</si>
  <si>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</si>
  <si>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</si>
  <si>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</si>
  <si>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</si>
  <si>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</si>
  <si>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</si>
  <si>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</si>
  <si>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Claimed by Policy holder</t>
  </si>
  <si>
    <t>Payment to Policy holder</t>
  </si>
  <si>
    <t>Total of Amount of Premium</t>
  </si>
  <si>
    <t>Total of Amount Claimed/Fraud Prevent</t>
  </si>
  <si>
    <t>Total of Amount of Refund/Loss</t>
  </si>
  <si>
    <t>Field Force Servicing Issue</t>
  </si>
  <si>
    <t>Banc Assurance Support Team</t>
  </si>
  <si>
    <t>Delay in Call pickup</t>
  </si>
  <si>
    <t>CEC Support Team</t>
  </si>
  <si>
    <t>Unsatisfied Policyholder</t>
  </si>
  <si>
    <t>Delay in Payments</t>
  </si>
  <si>
    <t>Claim Support Team</t>
  </si>
  <si>
    <t>Delay in attending the calls of Policyholder</t>
  </si>
  <si>
    <t>Delay in Claim settlement</t>
  </si>
  <si>
    <t>Delay in IPD Hospital pending cases</t>
  </si>
  <si>
    <t>Corporate Solutions Support Team</t>
  </si>
  <si>
    <t>Call pickup issues - Hospitalization</t>
  </si>
  <si>
    <t>Finance Support Team</t>
  </si>
  <si>
    <t>Delay in Dispatching of receipts and cheques</t>
  </si>
  <si>
    <t>Invoice Support Team</t>
  </si>
  <si>
    <t>Delayed Renewal Invoice</t>
  </si>
  <si>
    <t>Underwriting Support Team</t>
  </si>
  <si>
    <t>Delay in Free Look Cancellation</t>
  </si>
  <si>
    <t>Delay in policy document mailing</t>
  </si>
  <si>
    <t>Support Team</t>
  </si>
  <si>
    <t>Year Opening</t>
  </si>
  <si>
    <r>
      <rPr>
        <b/>
        <sz val="11"/>
        <color theme="1"/>
        <rFont val="Calibri"/>
        <family val="2"/>
        <scheme val="minor"/>
      </rPr>
      <t xml:space="preserve">Pending: </t>
    </r>
    <r>
      <rPr>
        <sz val="11"/>
        <color theme="1"/>
        <rFont val="Calibri"/>
        <family val="2"/>
        <scheme val="minor"/>
      </rPr>
      <t>The Complaints that are still open at Year End</t>
    </r>
  </si>
  <si>
    <t>This report shall only consider ALL records where 'Complaint Channel' is NOT 'Legal/Fraudalent Complaints'</t>
  </si>
  <si>
    <t>Annual Departmental Complaint Summary</t>
  </si>
  <si>
    <t>Annual Departmental Complaint Analysis</t>
  </si>
  <si>
    <t>Q1 2018</t>
  </si>
  <si>
    <t>Q2 2018</t>
  </si>
  <si>
    <t>Q3 2018</t>
  </si>
  <si>
    <t>Q4 2018</t>
  </si>
  <si>
    <t>Opening</t>
  </si>
  <si>
    <t>New</t>
  </si>
  <si>
    <t>Forum: ALL</t>
  </si>
  <si>
    <t>Quarterly Departmental Complaint Analysis</t>
  </si>
  <si>
    <t>Complaint Channel Wise Complaint Report</t>
  </si>
  <si>
    <t>Complaint Channel</t>
  </si>
  <si>
    <t>Complaint Channel Wise Complaints</t>
  </si>
  <si>
    <t>Individual Life</t>
  </si>
  <si>
    <t>Corporate Policy Holder</t>
  </si>
  <si>
    <t>Internal Complaints</t>
  </si>
  <si>
    <t>Vitality Complaints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</si>
</sst>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</font>
    <font>
      <b/>
      <sz val="16"/>
      <color theme="8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85">
    <xf numFmtId="0" fontId="0" fillId="0" borderId="0" xfId="0"/>
    <xf numFmtId="17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5" fillId="0" borderId="0" xfId="0" applyFont="1" applyBorder="1"/>
    <xf numFmtId="0" fontId="3" fillId="0" borderId="0" xfId="0" applyFont="1" applyBorder="1"/>
    <xf numFmtId="17" fontId="3" fillId="0" borderId="0" xfId="0" applyNumberFormat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2" borderId="1" xfId="0" applyFont="1" applyFill="1" applyBorder="1" applyAlignment="1"/>
    <xf numFmtId="0" fontId="3" fillId="0" borderId="1" xfId="0" applyFont="1" applyBorder="1" applyAlignment="1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Fill="1" applyBorder="1"/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/>
    <xf numFmtId="14" fontId="3" fillId="0" borderId="0" xfId="0" applyNumberFormat="1" applyFont="1"/>
    <xf numFmtId="22" fontId="3" fillId="0" borderId="0" xfId="0" applyNumberFormat="1" applyFont="1"/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horizontal="left"/>
    </xf>
    <xf numFmtId="0" fontId="2" fillId="0" borderId="0" xfId="0" applyFont="1"/>
    <xf numFmtId="0" fontId="10" fillId="0" borderId="0" xfId="0" applyFont="1"/>
    <xf numFmtId="0" fontId="12" fillId="0" borderId="0" xfId="2" applyFont="1"/>
    <xf numFmtId="0" fontId="1" fillId="4" borderId="18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0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 wrapText="1"/>
    </xf>
    <xf numFmtId="0" fontId="1" fillId="5" borderId="18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0" fillId="0" borderId="18" xfId="0" applyFont="1" applyBorder="1" applyAlignment="1">
      <alignment horizontal="left" vertical="center"/>
    </xf>
    <xf numFmtId="0" fontId="13" fillId="0" borderId="0" xfId="0" applyFont="1"/>
    <xf numFmtId="22" fontId="3" fillId="0" borderId="0" xfId="0" applyNumberFormat="1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vertical="top"/>
    </xf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0" fontId="14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164" fontId="0" fillId="0" borderId="23" xfId="1" applyNumberFormat="1" applyFont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164" fontId="1" fillId="5" borderId="23" xfId="1" applyNumberFormat="1" applyFont="1" applyFill="1" applyBorder="1" applyAlignment="1">
      <alignment horizontal="center" vertical="center"/>
    </xf>
    <xf numFmtId="0" fontId="0" fillId="0" borderId="24" xfId="0" applyFont="1" applyBorder="1"/>
    <xf numFmtId="0" fontId="0" fillId="0" borderId="25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24" xfId="0" applyFont="1" applyBorder="1" applyAlignment="1">
      <alignment horizontal="left" vertical="center"/>
    </xf>
    <xf numFmtId="0" fontId="1" fillId="6" borderId="27" xfId="0" applyFont="1" applyFill="1" applyBorder="1"/>
    <xf numFmtId="0" fontId="1" fillId="6" borderId="28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/>
    </xf>
    <xf numFmtId="0" fontId="13" fillId="0" borderId="0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0" fontId="0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1" fillId="6" borderId="25" xfId="0" applyFont="1" applyFill="1" applyBorder="1" applyAlignment="1">
      <alignment horizontal="center" vertical="center"/>
    </xf>
    <xf numFmtId="0" fontId="0" fillId="0" borderId="28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6" borderId="36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0" fillId="0" borderId="24" xfId="0" applyFont="1" applyBorder="1" applyAlignment="1">
      <alignment horizontal="left" vertical="center" wrapText="1"/>
    </xf>
    <xf numFmtId="0" fontId="0" fillId="0" borderId="24" xfId="0" applyFont="1" applyBorder="1" applyAlignment="1">
      <alignment wrapText="1"/>
    </xf>
    <xf numFmtId="0" fontId="0" fillId="0" borderId="39" xfId="0" applyFont="1" applyBorder="1" applyAlignment="1">
      <alignment horizontal="center"/>
    </xf>
    <xf numFmtId="0" fontId="1" fillId="6" borderId="40" xfId="0" applyFont="1" applyFill="1" applyBorder="1" applyAlignment="1">
      <alignment horizontal="center"/>
    </xf>
    <xf numFmtId="0" fontId="1" fillId="6" borderId="39" xfId="0" applyFont="1" applyFill="1" applyBorder="1" applyAlignment="1">
      <alignment horizontal="center"/>
    </xf>
    <xf numFmtId="0" fontId="1" fillId="6" borderId="32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0" fontId="0" fillId="0" borderId="43" xfId="0" applyFont="1" applyBorder="1" applyAlignment="1">
      <alignment horizontal="center"/>
    </xf>
    <xf numFmtId="0" fontId="1" fillId="6" borderId="44" xfId="0" applyFont="1" applyFill="1" applyBorder="1" applyAlignment="1">
      <alignment horizontal="center"/>
    </xf>
    <xf numFmtId="0" fontId="0" fillId="0" borderId="44" xfId="0" applyFont="1" applyBorder="1" applyAlignment="1">
      <alignment horizontal="center"/>
    </xf>
    <xf numFmtId="0" fontId="1" fillId="6" borderId="45" xfId="0" applyFont="1" applyFill="1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0" fontId="5" fillId="0" borderId="10" xfId="0" applyNumberFormat="1" applyFont="1" applyBorder="1" applyAlignment="1">
      <alignment horizontal="center"/>
    </xf>
    <xf numFmtId="10" fontId="5" fillId="0" borderId="11" xfId="0" applyNumberFormat="1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10" fontId="3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2" fillId="0" borderId="5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4" xfId="0" applyFont="1" applyBorder="1" applyAlignment="1">
      <alignment horizontal="left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31" xfId="0" quotePrefix="1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 wrapText="1"/>
    </xf>
    <xf numFmtId="0" fontId="1" fillId="6" borderId="25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22" fontId="3" fillId="0" borderId="0" xfId="0" applyNumberFormat="1" applyFont="1" applyBorder="1" applyAlignment="1">
      <alignment horizontal="left" vertical="center"/>
    </xf>
    <xf numFmtId="0" fontId="0" fillId="0" borderId="24" xfId="0" applyFont="1" applyBorder="1" applyAlignment="1">
      <alignment horizontal="left" vertical="center" wrapText="1"/>
    </xf>
    <xf numFmtId="0" fontId="1" fillId="6" borderId="32" xfId="0" applyFont="1" applyFill="1" applyBorder="1" applyAlignment="1">
      <alignment horizontal="center"/>
    </xf>
    <xf numFmtId="0" fontId="1" fillId="6" borderId="42" xfId="0" applyFont="1" applyFill="1" applyBorder="1" applyAlignment="1">
      <alignment horizontal="center"/>
    </xf>
    <xf numFmtId="0" fontId="1" fillId="6" borderId="32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38" xfId="0" applyFont="1" applyFill="1" applyBorder="1" applyAlignment="1">
      <alignment horizontal="center"/>
    </xf>
    <xf numFmtId="0" fontId="1" fillId="6" borderId="41" xfId="0" applyFont="1" applyFill="1" applyBorder="1" applyAlignment="1">
      <alignment horizontal="center"/>
    </xf>
    <xf numFmtId="0" fontId="8" fillId="3" borderId="14" xfId="0" quotePrefix="1" applyFont="1" applyFill="1" applyBorder="1" applyAlignment="1">
      <alignment horizontal="center" vertical="center" wrapText="1"/>
    </xf>
    <xf numFmtId="0" fontId="8" fillId="3" borderId="15" xfId="0" quotePrefix="1" applyFont="1" applyFill="1" applyBorder="1" applyAlignment="1">
      <alignment horizontal="center" vertical="center" wrapText="1"/>
    </xf>
    <xf numFmtId="0" fontId="8" fillId="3" borderId="16" xfId="0" quotePrefix="1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8" fillId="3" borderId="13" xfId="0" quotePrefix="1" applyFont="1" applyFill="1" applyBorder="1" applyAlignment="1">
      <alignment horizontal="center" vertical="center" wrapText="1"/>
    </xf>
    <xf numFmtId="0" fontId="8" fillId="3" borderId="17" xfId="0" quotePrefix="1" applyFont="1" applyFill="1" applyBorder="1" applyAlignment="1">
      <alignment horizontal="center" vertical="center" wrapText="1"/>
    </xf>
    <xf numFmtId="0" fontId="8" fillId="3" borderId="0" xfId="0" quotePrefix="1" applyFont="1" applyFill="1" applyBorder="1" applyAlignment="1">
      <alignment horizontal="center" vertical="center" wrapText="1"/>
    </xf>
    <xf numFmtId="0" fontId="8" fillId="3" borderId="20" xfId="0" quotePrefix="1" applyFont="1" applyFill="1" applyBorder="1" applyAlignment="1">
      <alignment horizontal="center" vertical="center" wrapText="1"/>
    </xf>
    <xf numFmtId="0" fontId="8" fillId="3" borderId="22" xfId="0" quotePrefix="1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Complaint Log </a:t>
            </a:r>
            <a:r>
              <a:rPr lang="en-US" baseline="0"/>
              <a:t>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742116367359379"/>
          <c:y val="0.15600420609884333"/>
          <c:w val="0.7261563072110343"/>
          <c:h val="0.7464215868915439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'DeptWise Complaint'!$C$20:$C$23</c:f>
              <c:strCache>
                <c:ptCount val="4"/>
                <c:pt idx="0">
                  <c:v>Agency Sales</c:v>
                </c:pt>
                <c:pt idx="1">
                  <c:v>Bancassurance</c:v>
                </c:pt>
                <c:pt idx="2">
                  <c:v>Customer Experience and Conversation</c:v>
                </c:pt>
                <c:pt idx="3">
                  <c:v>Claims</c:v>
                </c:pt>
              </c:strCache>
            </c:strRef>
          </c:cat>
          <c:val>
            <c:numRef>
              <c:f>'DeptWise Complaint'!$D$20:$D$23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'DeptWise Complaint'!$C$20:$C$23</c:f>
              <c:strCache>
                <c:ptCount val="4"/>
                <c:pt idx="0">
                  <c:v>Agency Sales</c:v>
                </c:pt>
                <c:pt idx="1">
                  <c:v>Bancassurance</c:v>
                </c:pt>
                <c:pt idx="2">
                  <c:v>Customer Experience and Conversation</c:v>
                </c:pt>
                <c:pt idx="3">
                  <c:v>Claims</c:v>
                </c:pt>
              </c:strCache>
            </c:strRef>
          </c:cat>
          <c:val>
            <c:numRef>
              <c:f>'DeptWise Complaint'!$E$20:$E$23</c:f>
              <c:numCache>
                <c:formatCode>General</c:formatCode>
                <c:ptCount val="4"/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'DeptWise Complaint'!$C$20:$C$23</c:f>
              <c:strCache>
                <c:ptCount val="4"/>
                <c:pt idx="0">
                  <c:v>Agency Sales</c:v>
                </c:pt>
                <c:pt idx="1">
                  <c:v>Bancassurance</c:v>
                </c:pt>
                <c:pt idx="2">
                  <c:v>Customer Experience and Conversation</c:v>
                </c:pt>
                <c:pt idx="3">
                  <c:v>Claims</c:v>
                </c:pt>
              </c:strCache>
            </c:strRef>
          </c:cat>
          <c:val>
            <c:numRef>
              <c:f>'DeptWise Complaint'!$F$20:$F$23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2262016"/>
        <c:axId val="222263552"/>
      </c:barChart>
      <c:catAx>
        <c:axId val="22226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63552"/>
        <c:crosses val="autoZero"/>
        <c:auto val="0"/>
        <c:lblAlgn val="ctr"/>
        <c:lblOffset val="100"/>
        <c:noMultiLvlLbl val="0"/>
      </c:catAx>
      <c:valAx>
        <c:axId val="22226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62016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Complaint Log </a:t>
            </a:r>
            <a:r>
              <a:rPr lang="en-US" baseline="0"/>
              <a:t>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742116367359379"/>
          <c:y val="0.15600420609884333"/>
          <c:w val="0.7261563072110343"/>
          <c:h val="0.7464215868915439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ComplaintChannelAnalysis!$E$20:$E$29</c:f>
              <c:strCache>
                <c:ptCount val="10"/>
                <c:pt idx="0">
                  <c:v>Individual Life</c:v>
                </c:pt>
                <c:pt idx="1">
                  <c:v>Corporate Policy Holder</c:v>
                </c:pt>
                <c:pt idx="2">
                  <c:v>Internal Complaints</c:v>
                </c:pt>
                <c:pt idx="3">
                  <c:v>Individual Life</c:v>
                </c:pt>
                <c:pt idx="4">
                  <c:v>Corporate Policy Holder</c:v>
                </c:pt>
                <c:pt idx="5">
                  <c:v>Internal Complaints</c:v>
                </c:pt>
                <c:pt idx="6">
                  <c:v>Vitality Complaints</c:v>
                </c:pt>
                <c:pt idx="7">
                  <c:v>Individual Life</c:v>
                </c:pt>
                <c:pt idx="8">
                  <c:v>Internal Complaints</c:v>
                </c:pt>
                <c:pt idx="9">
                  <c:v>Corporate Policy Holder</c:v>
                </c:pt>
              </c:strCache>
            </c:strRef>
          </c:cat>
          <c:val>
            <c:numRef>
              <c:f>ComplaintChannelAnalysis!$F$20:$F$29</c:f>
              <c:numCache>
                <c:formatCode>General</c:formatCode>
                <c:ptCount val="10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ComplaintChannelAnalysis!$E$20:$E$29</c:f>
              <c:strCache>
                <c:ptCount val="10"/>
                <c:pt idx="0">
                  <c:v>Individual Life</c:v>
                </c:pt>
                <c:pt idx="1">
                  <c:v>Corporate Policy Holder</c:v>
                </c:pt>
                <c:pt idx="2">
                  <c:v>Internal Complaints</c:v>
                </c:pt>
                <c:pt idx="3">
                  <c:v>Individual Life</c:v>
                </c:pt>
                <c:pt idx="4">
                  <c:v>Corporate Policy Holder</c:v>
                </c:pt>
                <c:pt idx="5">
                  <c:v>Internal Complaints</c:v>
                </c:pt>
                <c:pt idx="6">
                  <c:v>Vitality Complaints</c:v>
                </c:pt>
                <c:pt idx="7">
                  <c:v>Individual Life</c:v>
                </c:pt>
                <c:pt idx="8">
                  <c:v>Internal Complaints</c:v>
                </c:pt>
                <c:pt idx="9">
                  <c:v>Corporate Policy Holder</c:v>
                </c:pt>
              </c:strCache>
            </c:strRef>
          </c:cat>
          <c:val>
            <c:numRef>
              <c:f>ComplaintChannelAnalysis!$G$20:$G$29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10</c:v>
                </c:pt>
                <c:pt idx="3">
                  <c:v>24</c:v>
                </c:pt>
                <c:pt idx="4">
                  <c:v>12</c:v>
                </c:pt>
                <c:pt idx="5">
                  <c:v>23</c:v>
                </c:pt>
                <c:pt idx="6">
                  <c:v>8</c:v>
                </c:pt>
                <c:pt idx="7">
                  <c:v>9</c:v>
                </c:pt>
                <c:pt idx="8">
                  <c:v>14</c:v>
                </c:pt>
                <c:pt idx="9">
                  <c:v>25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ComplaintChannelAnalysis!$E$20:$E$29</c:f>
              <c:strCache>
                <c:ptCount val="10"/>
                <c:pt idx="0">
                  <c:v>Individual Life</c:v>
                </c:pt>
                <c:pt idx="1">
                  <c:v>Corporate Policy Holder</c:v>
                </c:pt>
                <c:pt idx="2">
                  <c:v>Internal Complaints</c:v>
                </c:pt>
                <c:pt idx="3">
                  <c:v>Individual Life</c:v>
                </c:pt>
                <c:pt idx="4">
                  <c:v>Corporate Policy Holder</c:v>
                </c:pt>
                <c:pt idx="5">
                  <c:v>Internal Complaints</c:v>
                </c:pt>
                <c:pt idx="6">
                  <c:v>Vitality Complaints</c:v>
                </c:pt>
                <c:pt idx="7">
                  <c:v>Individual Life</c:v>
                </c:pt>
                <c:pt idx="8">
                  <c:v>Internal Complaints</c:v>
                </c:pt>
                <c:pt idx="9">
                  <c:v>Corporate Policy Holder</c:v>
                </c:pt>
              </c:strCache>
            </c:strRef>
          </c:cat>
          <c:val>
            <c:numRef>
              <c:f>ComplaintChannelAnalysis!$H$20:$H$29</c:f>
              <c:numCache>
                <c:formatCode>General</c:formatCode>
                <c:ptCount val="1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2351360"/>
        <c:axId val="222352896"/>
      </c:barChart>
      <c:catAx>
        <c:axId val="22235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352896"/>
        <c:crosses val="autoZero"/>
        <c:auto val="0"/>
        <c:lblAlgn val="ctr"/>
        <c:lblOffset val="100"/>
        <c:noMultiLvlLbl val="0"/>
      </c:catAx>
      <c:valAx>
        <c:axId val="22235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35136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Complaint Log </a:t>
            </a:r>
            <a:r>
              <a:rPr lang="en-US" baseline="0"/>
              <a:t>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742116367359379"/>
          <c:y val="0.15600420609884333"/>
          <c:w val="0.7261563072110343"/>
          <c:h val="0.7464215868915439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'Complaint Type Analysis'!$E$20:$E$29</c:f>
              <c:strCache>
                <c:ptCount val="10"/>
                <c:pt idx="0">
                  <c:v>Delay in Policy Servicing</c:v>
                </c:pt>
                <c:pt idx="1">
                  <c:v>Field Force Servicing issue</c:v>
                </c:pt>
                <c:pt idx="2">
                  <c:v>Field Force Complaint</c:v>
                </c:pt>
                <c:pt idx="3">
                  <c:v>Delay in Call Pickup</c:v>
                </c:pt>
                <c:pt idx="4">
                  <c:v>Policy Servicing Issue in Bank</c:v>
                </c:pt>
                <c:pt idx="5">
                  <c:v>Late Premium Debit</c:v>
                </c:pt>
                <c:pt idx="6">
                  <c:v>Lack of Policy Information</c:v>
                </c:pt>
                <c:pt idx="7">
                  <c:v>Delay in Claim Settlement</c:v>
                </c:pt>
                <c:pt idx="8">
                  <c:v>Delay in renewal invoice</c:v>
                </c:pt>
                <c:pt idx="9">
                  <c:v>Others</c:v>
                </c:pt>
              </c:strCache>
            </c:strRef>
          </c:cat>
          <c:val>
            <c:numRef>
              <c:f>'Complaint Type Analysis'!$F$20:$F$29</c:f>
              <c:numCache>
                <c:formatCode>General</c:formatCode>
                <c:ptCount val="10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'Complaint Type Analysis'!$E$20:$E$29</c:f>
              <c:strCache>
                <c:ptCount val="10"/>
                <c:pt idx="0">
                  <c:v>Delay in Policy Servicing</c:v>
                </c:pt>
                <c:pt idx="1">
                  <c:v>Field Force Servicing issue</c:v>
                </c:pt>
                <c:pt idx="2">
                  <c:v>Field Force Complaint</c:v>
                </c:pt>
                <c:pt idx="3">
                  <c:v>Delay in Call Pickup</c:v>
                </c:pt>
                <c:pt idx="4">
                  <c:v>Policy Servicing Issue in Bank</c:v>
                </c:pt>
                <c:pt idx="5">
                  <c:v>Late Premium Debit</c:v>
                </c:pt>
                <c:pt idx="6">
                  <c:v>Lack of Policy Information</c:v>
                </c:pt>
                <c:pt idx="7">
                  <c:v>Delay in Claim Settlement</c:v>
                </c:pt>
                <c:pt idx="8">
                  <c:v>Delay in renewal invoice</c:v>
                </c:pt>
                <c:pt idx="9">
                  <c:v>Others</c:v>
                </c:pt>
              </c:strCache>
            </c:strRef>
          </c:cat>
          <c:val>
            <c:numRef>
              <c:f>'Complaint Type Analysis'!$G$20:$G$29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10</c:v>
                </c:pt>
                <c:pt idx="3">
                  <c:v>24</c:v>
                </c:pt>
                <c:pt idx="4">
                  <c:v>12</c:v>
                </c:pt>
                <c:pt idx="5">
                  <c:v>23</c:v>
                </c:pt>
                <c:pt idx="6">
                  <c:v>8</c:v>
                </c:pt>
                <c:pt idx="7">
                  <c:v>9</c:v>
                </c:pt>
                <c:pt idx="8">
                  <c:v>14</c:v>
                </c:pt>
                <c:pt idx="9">
                  <c:v>25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'Complaint Type Analysis'!$E$20:$E$29</c:f>
              <c:strCache>
                <c:ptCount val="10"/>
                <c:pt idx="0">
                  <c:v>Delay in Policy Servicing</c:v>
                </c:pt>
                <c:pt idx="1">
                  <c:v>Field Force Servicing issue</c:v>
                </c:pt>
                <c:pt idx="2">
                  <c:v>Field Force Complaint</c:v>
                </c:pt>
                <c:pt idx="3">
                  <c:v>Delay in Call Pickup</c:v>
                </c:pt>
                <c:pt idx="4">
                  <c:v>Policy Servicing Issue in Bank</c:v>
                </c:pt>
                <c:pt idx="5">
                  <c:v>Late Premium Debit</c:v>
                </c:pt>
                <c:pt idx="6">
                  <c:v>Lack of Policy Information</c:v>
                </c:pt>
                <c:pt idx="7">
                  <c:v>Delay in Claim Settlement</c:v>
                </c:pt>
                <c:pt idx="8">
                  <c:v>Delay in renewal invoice</c:v>
                </c:pt>
                <c:pt idx="9">
                  <c:v>Others</c:v>
                </c:pt>
              </c:strCache>
            </c:strRef>
          </c:cat>
          <c:val>
            <c:numRef>
              <c:f>'Complaint Type Analysis'!$H$20:$H$29</c:f>
              <c:numCache>
                <c:formatCode>General</c:formatCode>
                <c:ptCount val="1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2604672"/>
        <c:axId val="222614656"/>
      </c:barChart>
      <c:catAx>
        <c:axId val="22260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14656"/>
        <c:crosses val="autoZero"/>
        <c:auto val="0"/>
        <c:lblAlgn val="ctr"/>
        <c:lblOffset val="100"/>
        <c:noMultiLvlLbl val="0"/>
      </c:catAx>
      <c:valAx>
        <c:axId val="22261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0467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Range="'Drop Downs'!$C$2:$C$4" noThreeD="1" val="0"/>
</file>

<file path=xl/ctrlProps/ctrlProp2.xml><?xml version="1.0" encoding="utf-8"?>
<formControlPr xmlns="http://schemas.microsoft.com/office/spreadsheetml/2009/9/main" objectType="Drop" dropStyle="combo" dx="16" fmlaRange="'Drop Downs'!$C$7" noThreeD="1" val="0"/>
</file>

<file path=xl/ctrlProps/ctrlProp3.xml><?xml version="1.0" encoding="utf-8"?>
<formControlPr xmlns="http://schemas.microsoft.com/office/spreadsheetml/2009/9/main" objectType="Drop" dropStyle="combo" dx="16" fmlaRange="'Drop Downs'!$E$7" noThreeD="1" val="0"/>
</file>

<file path=xl/ctrlProps/ctrlProp4.xml><?xml version="1.0" encoding="utf-8"?>
<formControlPr xmlns="http://schemas.microsoft.com/office/spreadsheetml/2009/9/main" objectType="Drop" dropStyle="combo" dx="16" noThreeD="1" sel="0" val="0"/>
</file>

<file path=xl/ctrlProps/ctrlProp5.xml><?xml version="1.0" encoding="utf-8"?>
<formControlPr xmlns="http://schemas.microsoft.com/office/spreadsheetml/2009/9/main" objectType="Drop" dropStyle="combo" dx="16" noThreeD="1" sel="0" val="0"/>
</file>

<file path=xl/ctrlProps/ctrlProp6.xml><?xml version="1.0" encoding="utf-8"?>
<formControlPr xmlns="http://schemas.microsoft.com/office/spreadsheetml/2009/9/main" objectType="Drop" dropStyle="combo" dx="16" noThreeD="1" sel="0" val="0"/>
</file>

<file path=xl/ctrlProps/ctrlProp7.xml><?xml version="1.0" encoding="utf-8"?>
<formControlPr xmlns="http://schemas.microsoft.com/office/spreadsheetml/2009/9/main" objectType="Drop" dropStyle="combo" dx="16" noThreeD="1" sel="0" val="0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Drop" dropStyle="combo" dx="16" noThreeD="1" sel="0" val="0"/>
</file>

<file path=xl/ctrlProps/ctrlProp10.xml><?xml version="1.0" encoding="utf-8"?>
<formControlPr xmlns="http://schemas.microsoft.com/office/spreadsheetml/2009/9/main" objectType="Drop" dropStyle="combo" dx="16" noThreeD="1" sel="0" val="0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Drop" dropStyle="combo" dx="16" fmlaRange="'Drop Downs'!$G$2:$G$3" noThreeD="1" val="0"/>
</file>

<file path=xl/ctrlProps/ctrlProp13.xml><?xml version="1.0" encoding="utf-8"?>
<formControlPr xmlns="http://schemas.microsoft.com/office/spreadsheetml/2009/9/main" objectType="Drop" dropStyle="combo" dx="16" fmlaRange="'Drop Downs'!$C$7" noThreeD="1" val="0"/>
</file>

<file path=xl/ctrlProps/ctrlProp14.xml><?xml version="1.0" encoding="utf-8"?>
<formControlPr xmlns="http://schemas.microsoft.com/office/spreadsheetml/2009/9/main" objectType="Drop" dropStyle="combo" dx="16" noThreeD="1" sel="0" val="0"/>
</file>

<file path=xl/ctrlProps/ctrlProp15.xml><?xml version="1.0" encoding="utf-8"?>
<formControlPr xmlns="http://schemas.microsoft.com/office/spreadsheetml/2009/9/main" objectType="Drop" dropStyle="combo" dx="16" noThreeD="1" sel="0" val="0"/>
</file>

<file path=xl/ctrlProps/ctrlProp16.xml><?xml version="1.0" encoding="utf-8"?>
<formControlPr xmlns="http://schemas.microsoft.com/office/spreadsheetml/2009/9/main" objectType="Drop" dropStyle="combo" dx="16" noThreeD="1" sel="0" val="0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Drop" dropStyle="combo" dx="16" fmlaRange="'Drop Downs'!$G$2:$G$3" noThreeD="1" val="0"/>
</file>

<file path=xl/ctrlProps/ctrlProp19.xml><?xml version="1.0" encoding="utf-8"?>
<formControlPr xmlns="http://schemas.microsoft.com/office/spreadsheetml/2009/9/main" objectType="Drop" dropStyle="combo" dx="16" fmlaRange="'Drop Downs'!$C$7" noThreeD="1" val="0"/>
</file>

<file path=xl/ctrlProps/ctrlProp20.xml><?xml version="1.0" encoding="utf-8"?>
<formControlPr xmlns="http://schemas.microsoft.com/office/spreadsheetml/2009/9/main" objectType="Drop" dropStyle="combo" dx="16" noThreeD="1" sel="0" val="0"/>
</file>

<file path=xl/ctrlProps/ctrlProp21.xml><?xml version="1.0" encoding="utf-8"?>
<formControlPr xmlns="http://schemas.microsoft.com/office/spreadsheetml/2009/9/main" objectType="Drop" dropStyle="combo" dx="16" noThreeD="1" sel="0" val="0"/>
</file>

<file path=xl/ctrlProps/ctrlProp22.xml><?xml version="1.0" encoding="utf-8"?>
<formControlPr xmlns="http://schemas.microsoft.com/office/spreadsheetml/2009/9/main" objectType="Drop" dropStyle="combo" dx="16" noThreeD="1" sel="0" val="0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Drop" dropStyle="combo" dx="16" noThreeD="1" sel="0" val="0"/>
</file>

<file path=xl/ctrlProps/ctrlProp25.xml><?xml version="1.0" encoding="utf-8"?>
<formControlPr xmlns="http://schemas.microsoft.com/office/spreadsheetml/2009/9/main" objectType="Drop" dropStyle="combo" dx="16" fmlaRange="'Drop Downs'!$G$2:$G$3" noThreeD="1" val="0"/>
</file>

<file path=xl/ctrlProps/ctrlProp26.xml><?xml version="1.0" encoding="utf-8"?>
<formControlPr xmlns="http://schemas.microsoft.com/office/spreadsheetml/2009/9/main" objectType="Drop" dropStyle="combo" dx="16" fmlaRange="'Drop Downs'!$C$7" noThreeD="1" val="0"/>
</file>

<file path=xl/ctrlProps/ctrlProp27.xml><?xml version="1.0" encoding="utf-8"?>
<formControlPr xmlns="http://schemas.microsoft.com/office/spreadsheetml/2009/9/main" objectType="Drop" dropStyle="combo" dx="16" noThreeD="1" sel="0" val="0"/>
</file>

<file path=xl/ctrlProps/ctrlProp28.xml><?xml version="1.0" encoding="utf-8"?>
<formControlPr xmlns="http://schemas.microsoft.com/office/spreadsheetml/2009/9/main" objectType="Drop" dropStyle="combo" dx="16" noThreeD="1" sel="0" val="0"/>
</file>

<file path=xl/ctrlProps/ctrlProp29.xml><?xml version="1.0" encoding="utf-8"?>
<formControlPr xmlns="http://schemas.microsoft.com/office/spreadsheetml/2009/9/main" objectType="Drop" dropStyle="combo" dx="16" noThreeD="1" sel="0" val="0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Drop" dropStyle="combo" dx="16" noThreeD="1" sel="0" val="0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Drop" dropStyle="combo" dx="16" noThreeD="1" sel="0" val="0"/>
</file>

<file path=xl/ctrlProps/ctrlProp34.xml><?xml version="1.0" encoding="utf-8"?>
<formControlPr xmlns="http://schemas.microsoft.com/office/spreadsheetml/2009/9/main" objectType="Drop" dropStyle="combo" dx="16" noThreeD="1" sel="0" val="0"/>
</file>

<file path=xl/ctrlProps/ctrlProp35.xml><?xml version="1.0" encoding="utf-8"?>
<formControlPr xmlns="http://schemas.microsoft.com/office/spreadsheetml/2009/9/main" objectType="Drop" dropStyle="combo" dx="16" noThreeD="1" sel="0" val="0"/>
</file>

<file path=xl/ctrlProps/ctrlProp36.xml><?xml version="1.0" encoding="utf-8"?>
<formControlPr xmlns="http://schemas.microsoft.com/office/spreadsheetml/2009/9/main" objectType="Drop" dropStyle="combo" dx="16" noThreeD="1" sel="0" val="0"/>
</file>

<file path=xl/ctrlProps/ctrlProp37.xml><?xml version="1.0" encoding="utf-8"?>
<formControlPr xmlns="http://schemas.microsoft.com/office/spreadsheetml/2009/9/main" objectType="Drop" dropStyle="combo" dx="16" noThreeD="1" sel="0" val="0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Drop" dropStyle="combo" dx="16" noThreeD="1" sel="0" val="0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Drop" dropStyle="combo" dx="16" noThreeD="1" sel="0" val="0"/>
</file>

<file path=xl/ctrlProps/ctrlProp42.xml><?xml version="1.0" encoding="utf-8"?>
<formControlPr xmlns="http://schemas.microsoft.com/office/spreadsheetml/2009/9/main" objectType="Drop" dropStyle="combo" dx="16" noThreeD="1" sel="0" val="0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Drop" dropStyle="combo" dx="16" noThreeD="1" sel="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784860</xdr:colOff>
          <xdr:row>4</xdr:row>
          <xdr:rowOff>22860</xdr:rowOff>
        </xdr:from>
        <xdr:to>
          <xdr:col>5</xdr:col>
          <xdr:colOff>83820</xdr:colOff>
          <xdr:row>5</xdr:row>
          <xdr:rowOff>22860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807720</xdr:colOff>
          <xdr:row>6</xdr:row>
          <xdr:rowOff>0</xdr:rowOff>
        </xdr:from>
        <xdr:to>
          <xdr:col>4</xdr:col>
          <xdr:colOff>137160</xdr:colOff>
          <xdr:row>7</xdr:row>
          <xdr:rowOff>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6</xdr:row>
          <xdr:rowOff>0</xdr:rowOff>
        </xdr:from>
        <xdr:to>
          <xdr:col>9</xdr:col>
          <xdr:colOff>152400</xdr:colOff>
          <xdr:row>7</xdr:row>
          <xdr:rowOff>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807720</xdr:colOff>
          <xdr:row>8</xdr:row>
          <xdr:rowOff>7620</xdr:rowOff>
        </xdr:from>
        <xdr:to>
          <xdr:col>4</xdr:col>
          <xdr:colOff>137160</xdr:colOff>
          <xdr:row>9</xdr:row>
          <xdr:rowOff>7620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8</xdr:row>
          <xdr:rowOff>0</xdr:rowOff>
        </xdr:from>
        <xdr:to>
          <xdr:col>9</xdr:col>
          <xdr:colOff>152400</xdr:colOff>
          <xdr:row>9</xdr:row>
          <xdr:rowOff>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807720</xdr:colOff>
          <xdr:row>10</xdr:row>
          <xdr:rowOff>7620</xdr:rowOff>
        </xdr:from>
        <xdr:to>
          <xdr:col>4</xdr:col>
          <xdr:colOff>137160</xdr:colOff>
          <xdr:row>11</xdr:row>
          <xdr:rowOff>7620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83820</xdr:colOff>
          <xdr:row>10</xdr:row>
          <xdr:rowOff>7620</xdr:rowOff>
        </xdr:from>
        <xdr:to>
          <xdr:col>9</xdr:col>
          <xdr:colOff>144780</xdr:colOff>
          <xdr:row>11</xdr:row>
          <xdr:rowOff>7620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10</xdr:row>
          <xdr:rowOff>0</xdr:rowOff>
        </xdr:from>
        <xdr:to>
          <xdr:col>12</xdr:col>
          <xdr:colOff>45720</xdr:colOff>
          <xdr:row>11</xdr:row>
          <xdr:rowOff>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11</xdr:col>
      <xdr:colOff>247650</xdr:colOff>
      <xdr:row>13</xdr:row>
      <xdr:rowOff>95251</xdr:rowOff>
    </xdr:from>
    <xdr:to>
      <xdr:col>12</xdr:col>
      <xdr:colOff>485637</xdr:colOff>
      <xdr:row>14</xdr:row>
      <xdr:rowOff>162712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1895476"/>
          <a:ext cx="847587" cy="257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579120</xdr:colOff>
          <xdr:row>3</xdr:row>
          <xdr:rowOff>228600</xdr:rowOff>
        </xdr:from>
        <xdr:to>
          <xdr:col>4</xdr:col>
          <xdr:colOff>175260</xdr:colOff>
          <xdr:row>5</xdr:row>
          <xdr:rowOff>0</xdr:rowOff>
        </xdr:to>
        <xdr:sp macro="" textlink="">
          <xdr:nvSpPr>
            <xdr:cNvPr id="3086" name="Drop Down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3</xdr:row>
          <xdr:rowOff>228600</xdr:rowOff>
        </xdr:from>
        <xdr:to>
          <xdr:col>9</xdr:col>
          <xdr:colOff>449580</xdr:colOff>
          <xdr:row>5</xdr:row>
          <xdr:rowOff>0</xdr:rowOff>
        </xdr:to>
        <xdr:sp macro="" textlink="">
          <xdr:nvSpPr>
            <xdr:cNvPr id="3087" name="Drop Down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312420</xdr:colOff>
          <xdr:row>3</xdr:row>
          <xdr:rowOff>228600</xdr:rowOff>
        </xdr:from>
        <xdr:to>
          <xdr:col>11</xdr:col>
          <xdr:colOff>365760</xdr:colOff>
          <xdr:row>4</xdr:row>
          <xdr:rowOff>182880</xdr:rowOff>
        </xdr:to>
        <xdr:sp macro="" textlink="">
          <xdr:nvSpPr>
            <xdr:cNvPr id="3088" name="Button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304801</xdr:colOff>
      <xdr:row>32</xdr:row>
      <xdr:rowOff>95250</xdr:rowOff>
    </xdr:from>
    <xdr:to>
      <xdr:col>11</xdr:col>
      <xdr:colOff>352425</xdr:colOff>
      <xdr:row>42</xdr:row>
      <xdr:rowOff>39416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1" y="5314950"/>
          <a:ext cx="6334124" cy="1849166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10</xdr:col>
      <xdr:colOff>409575</xdr:colOff>
      <xdr:row>8</xdr:row>
      <xdr:rowOff>0</xdr:rowOff>
    </xdr:from>
    <xdr:to>
      <xdr:col>12</xdr:col>
      <xdr:colOff>85587</xdr:colOff>
      <xdr:row>9</xdr:row>
      <xdr:rowOff>19836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6075" y="895350"/>
          <a:ext cx="847587" cy="257961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419101</xdr:colOff>
      <xdr:row>30</xdr:row>
      <xdr:rowOff>95250</xdr:rowOff>
    </xdr:from>
    <xdr:to>
      <xdr:col>12</xdr:col>
      <xdr:colOff>95113</xdr:colOff>
      <xdr:row>31</xdr:row>
      <xdr:rowOff>162711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1" y="4933950"/>
          <a:ext cx="847587" cy="2579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883920</xdr:colOff>
          <xdr:row>4</xdr:row>
          <xdr:rowOff>0</xdr:rowOff>
        </xdr:from>
        <xdr:to>
          <xdr:col>2</xdr:col>
          <xdr:colOff>1912620</xdr:colOff>
          <xdr:row>4</xdr:row>
          <xdr:rowOff>182880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4</xdr:row>
          <xdr:rowOff>0</xdr:rowOff>
        </xdr:from>
        <xdr:to>
          <xdr:col>6</xdr:col>
          <xdr:colOff>784860</xdr:colOff>
          <xdr:row>5</xdr:row>
          <xdr:rowOff>0</xdr:rowOff>
        </xdr:to>
        <xdr:sp macro="" textlink="">
          <xdr:nvSpPr>
            <xdr:cNvPr id="5122" name="Drop Down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6</xdr:row>
          <xdr:rowOff>7620</xdr:rowOff>
        </xdr:from>
        <xdr:to>
          <xdr:col>6</xdr:col>
          <xdr:colOff>784860</xdr:colOff>
          <xdr:row>7</xdr:row>
          <xdr:rowOff>7620</xdr:rowOff>
        </xdr:to>
        <xdr:sp macro="" textlink="">
          <xdr:nvSpPr>
            <xdr:cNvPr id="5124" name="Drop Down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8</xdr:row>
          <xdr:rowOff>7620</xdr:rowOff>
        </xdr:from>
        <xdr:to>
          <xdr:col>6</xdr:col>
          <xdr:colOff>784860</xdr:colOff>
          <xdr:row>9</xdr:row>
          <xdr:rowOff>7620</xdr:rowOff>
        </xdr:to>
        <xdr:sp macro="" textlink="">
          <xdr:nvSpPr>
            <xdr:cNvPr id="5126" name="Drop Down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883920</xdr:colOff>
          <xdr:row>5</xdr:row>
          <xdr:rowOff>121920</xdr:rowOff>
        </xdr:from>
        <xdr:to>
          <xdr:col>2</xdr:col>
          <xdr:colOff>1912620</xdr:colOff>
          <xdr:row>6</xdr:row>
          <xdr:rowOff>175260</xdr:rowOff>
        </xdr:to>
        <xdr:sp macro="" textlink="">
          <xdr:nvSpPr>
            <xdr:cNvPr id="5127" name="Drop Down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525780</xdr:colOff>
          <xdr:row>8</xdr:row>
          <xdr:rowOff>22860</xdr:rowOff>
        </xdr:from>
        <xdr:to>
          <xdr:col>9</xdr:col>
          <xdr:colOff>571500</xdr:colOff>
          <xdr:row>9</xdr:row>
          <xdr:rowOff>22860</xdr:rowOff>
        </xdr:to>
        <xdr:sp macro="" textlink="">
          <xdr:nvSpPr>
            <xdr:cNvPr id="5128" name="Button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xdr:twoCellAnchor>
    <xdr:from>
      <xdr:col>1</xdr:col>
      <xdr:colOff>209550</xdr:colOff>
      <xdr:row>30</xdr:row>
      <xdr:rowOff>57149</xdr:rowOff>
    </xdr:from>
    <xdr:to>
      <xdr:col>10</xdr:col>
      <xdr:colOff>304800</xdr:colOff>
      <xdr:row>43</xdr:row>
      <xdr:rowOff>28574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257175</xdr:colOff>
      <xdr:row>12</xdr:row>
      <xdr:rowOff>85725</xdr:rowOff>
    </xdr:from>
    <xdr:to>
      <xdr:col>10</xdr:col>
      <xdr:colOff>495162</xdr:colOff>
      <xdr:row>13</xdr:row>
      <xdr:rowOff>153186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10600" y="1600200"/>
          <a:ext cx="847587" cy="257961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27</xdr:row>
      <xdr:rowOff>104775</xdr:rowOff>
    </xdr:from>
    <xdr:to>
      <xdr:col>10</xdr:col>
      <xdr:colOff>504687</xdr:colOff>
      <xdr:row>28</xdr:row>
      <xdr:rowOff>172236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4371975"/>
          <a:ext cx="847587" cy="2579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</xdr:colOff>
          <xdr:row>4</xdr:row>
          <xdr:rowOff>0</xdr:rowOff>
        </xdr:from>
        <xdr:to>
          <xdr:col>4</xdr:col>
          <xdr:colOff>426720</xdr:colOff>
          <xdr:row>4</xdr:row>
          <xdr:rowOff>182880</xdr:rowOff>
        </xdr:to>
        <xdr:sp macro="" textlink="">
          <xdr:nvSpPr>
            <xdr:cNvPr id="15361" name="Drop Down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708660</xdr:colOff>
          <xdr:row>4</xdr:row>
          <xdr:rowOff>0</xdr:rowOff>
        </xdr:from>
        <xdr:to>
          <xdr:col>8</xdr:col>
          <xdr:colOff>487680</xdr:colOff>
          <xdr:row>5</xdr:row>
          <xdr:rowOff>0</xdr:rowOff>
        </xdr:to>
        <xdr:sp macro="" textlink="">
          <xdr:nvSpPr>
            <xdr:cNvPr id="15362" name="Drop Down 2" hidden="1">
              <a:extLst>
                <a:ext uri="{63B3BB69-23CF-44E3-9099-C40C66FF867C}">
                  <a14:compatExt spid="_x0000_s15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708660</xdr:colOff>
          <xdr:row>6</xdr:row>
          <xdr:rowOff>7620</xdr:rowOff>
        </xdr:from>
        <xdr:to>
          <xdr:col>8</xdr:col>
          <xdr:colOff>487680</xdr:colOff>
          <xdr:row>7</xdr:row>
          <xdr:rowOff>7620</xdr:rowOff>
        </xdr:to>
        <xdr:sp macro="" textlink="">
          <xdr:nvSpPr>
            <xdr:cNvPr id="15363" name="Drop Down 3" hidden="1">
              <a:extLst>
                <a:ext uri="{63B3BB69-23CF-44E3-9099-C40C66FF867C}">
                  <a14:compatExt spid="_x0000_s15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708660</xdr:colOff>
          <xdr:row>8</xdr:row>
          <xdr:rowOff>7620</xdr:rowOff>
        </xdr:from>
        <xdr:to>
          <xdr:col>8</xdr:col>
          <xdr:colOff>487680</xdr:colOff>
          <xdr:row>9</xdr:row>
          <xdr:rowOff>7620</xdr:rowOff>
        </xdr:to>
        <xdr:sp macro="" textlink="">
          <xdr:nvSpPr>
            <xdr:cNvPr id="15364" name="Drop Down 4" hidden="1">
              <a:extLst>
                <a:ext uri="{63B3BB69-23CF-44E3-9099-C40C66FF867C}">
                  <a14:compatExt spid="_x0000_s15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</xdr:colOff>
          <xdr:row>6</xdr:row>
          <xdr:rowOff>0</xdr:rowOff>
        </xdr:from>
        <xdr:to>
          <xdr:col>4</xdr:col>
          <xdr:colOff>426720</xdr:colOff>
          <xdr:row>6</xdr:row>
          <xdr:rowOff>175260</xdr:rowOff>
        </xdr:to>
        <xdr:sp macro="" textlink="">
          <xdr:nvSpPr>
            <xdr:cNvPr id="15365" name="Drop Down 5" hidden="1">
              <a:extLst>
                <a:ext uri="{63B3BB69-23CF-44E3-9099-C40C66FF867C}">
                  <a14:compatExt spid="_x0000_s15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525780</xdr:colOff>
          <xdr:row>8</xdr:row>
          <xdr:rowOff>22860</xdr:rowOff>
        </xdr:from>
        <xdr:to>
          <xdr:col>11</xdr:col>
          <xdr:colOff>571500</xdr:colOff>
          <xdr:row>9</xdr:row>
          <xdr:rowOff>22860</xdr:rowOff>
        </xdr:to>
        <xdr:sp macro="" textlink="">
          <xdr:nvSpPr>
            <xdr:cNvPr id="15366" name="Button 6" hidden="1">
              <a:extLst>
                <a:ext uri="{63B3BB69-23CF-44E3-9099-C40C66FF867C}">
                  <a14:compatExt spid="_x0000_s15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</xdr:colOff>
          <xdr:row>8</xdr:row>
          <xdr:rowOff>0</xdr:rowOff>
        </xdr:from>
        <xdr:to>
          <xdr:col>4</xdr:col>
          <xdr:colOff>426720</xdr:colOff>
          <xdr:row>8</xdr:row>
          <xdr:rowOff>175260</xdr:rowOff>
        </xdr:to>
        <xdr:sp macro="" textlink="">
          <xdr:nvSpPr>
            <xdr:cNvPr id="15367" name="Drop Down 7" hidden="1">
              <a:extLst>
                <a:ext uri="{63B3BB69-23CF-44E3-9099-C40C66FF867C}">
                  <a14:compatExt spid="_x0000_s15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190500</xdr:colOff>
      <xdr:row>35</xdr:row>
      <xdr:rowOff>47625</xdr:rowOff>
    </xdr:from>
    <xdr:to>
      <xdr:col>12</xdr:col>
      <xdr:colOff>371475</xdr:colOff>
      <xdr:row>49</xdr:row>
      <xdr:rowOff>161924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285750</xdr:colOff>
      <xdr:row>12</xdr:row>
      <xdr:rowOff>85725</xdr:rowOff>
    </xdr:from>
    <xdr:to>
      <xdr:col>12</xdr:col>
      <xdr:colOff>523737</xdr:colOff>
      <xdr:row>13</xdr:row>
      <xdr:rowOff>153186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82175" y="1600200"/>
          <a:ext cx="847587" cy="257961"/>
        </a:xfrm>
        <a:prstGeom prst="rect">
          <a:avLst/>
        </a:prstGeom>
      </xdr:spPr>
    </xdr:pic>
    <xdr:clientData/>
  </xdr:twoCellAnchor>
  <xdr:twoCellAnchor editAs="oneCell">
    <xdr:from>
      <xdr:col>11</xdr:col>
      <xdr:colOff>276225</xdr:colOff>
      <xdr:row>33</xdr:row>
      <xdr:rowOff>66675</xdr:rowOff>
    </xdr:from>
    <xdr:to>
      <xdr:col>12</xdr:col>
      <xdr:colOff>514212</xdr:colOff>
      <xdr:row>34</xdr:row>
      <xdr:rowOff>134136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2650" y="5534025"/>
          <a:ext cx="847587" cy="2579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</xdr:colOff>
          <xdr:row>4</xdr:row>
          <xdr:rowOff>0</xdr:rowOff>
        </xdr:from>
        <xdr:to>
          <xdr:col>4</xdr:col>
          <xdr:colOff>426720</xdr:colOff>
          <xdr:row>4</xdr:row>
          <xdr:rowOff>182880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708660</xdr:colOff>
          <xdr:row>4</xdr:row>
          <xdr:rowOff>0</xdr:rowOff>
        </xdr:from>
        <xdr:to>
          <xdr:col>8</xdr:col>
          <xdr:colOff>487680</xdr:colOff>
          <xdr:row>5</xdr:row>
          <xdr:rowOff>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708660</xdr:colOff>
          <xdr:row>6</xdr:row>
          <xdr:rowOff>7620</xdr:rowOff>
        </xdr:from>
        <xdr:to>
          <xdr:col>8</xdr:col>
          <xdr:colOff>487680</xdr:colOff>
          <xdr:row>7</xdr:row>
          <xdr:rowOff>7620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708660</xdr:colOff>
          <xdr:row>8</xdr:row>
          <xdr:rowOff>7620</xdr:rowOff>
        </xdr:from>
        <xdr:to>
          <xdr:col>8</xdr:col>
          <xdr:colOff>487680</xdr:colOff>
          <xdr:row>9</xdr:row>
          <xdr:rowOff>7620</xdr:rowOff>
        </xdr:to>
        <xdr:sp macro="" textlink="">
          <xdr:nvSpPr>
            <xdr:cNvPr id="6148" name="Drop Down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</xdr:colOff>
          <xdr:row>6</xdr:row>
          <xdr:rowOff>0</xdr:rowOff>
        </xdr:from>
        <xdr:to>
          <xdr:col>4</xdr:col>
          <xdr:colOff>426720</xdr:colOff>
          <xdr:row>6</xdr:row>
          <xdr:rowOff>175260</xdr:rowOff>
        </xdr:to>
        <xdr:sp macro="" textlink="">
          <xdr:nvSpPr>
            <xdr:cNvPr id="6149" name="Drop Down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525780</xdr:colOff>
          <xdr:row>8</xdr:row>
          <xdr:rowOff>22860</xdr:rowOff>
        </xdr:from>
        <xdr:to>
          <xdr:col>11</xdr:col>
          <xdr:colOff>571500</xdr:colOff>
          <xdr:row>9</xdr:row>
          <xdr:rowOff>22860</xdr:rowOff>
        </xdr:to>
        <xdr:sp macro="" textlink="">
          <xdr:nvSpPr>
            <xdr:cNvPr id="6150" name="Button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</xdr:colOff>
          <xdr:row>8</xdr:row>
          <xdr:rowOff>0</xdr:rowOff>
        </xdr:from>
        <xdr:to>
          <xdr:col>4</xdr:col>
          <xdr:colOff>426720</xdr:colOff>
          <xdr:row>8</xdr:row>
          <xdr:rowOff>175260</xdr:rowOff>
        </xdr:to>
        <xdr:sp macro="" textlink="">
          <xdr:nvSpPr>
            <xdr:cNvPr id="6151" name="Drop Down 7" hidden="1">
              <a:extLst>
                <a:ext uri="{63B3BB69-23CF-44E3-9099-C40C66FF867C}">
                  <a14:compatExt spid="_x0000_s6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190500</xdr:colOff>
      <xdr:row>35</xdr:row>
      <xdr:rowOff>47625</xdr:rowOff>
    </xdr:from>
    <xdr:to>
      <xdr:col>12</xdr:col>
      <xdr:colOff>371475</xdr:colOff>
      <xdr:row>49</xdr:row>
      <xdr:rowOff>161924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285750</xdr:colOff>
      <xdr:row>12</xdr:row>
      <xdr:rowOff>85725</xdr:rowOff>
    </xdr:from>
    <xdr:to>
      <xdr:col>12</xdr:col>
      <xdr:colOff>523737</xdr:colOff>
      <xdr:row>13</xdr:row>
      <xdr:rowOff>153186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82175" y="1600200"/>
          <a:ext cx="847587" cy="257961"/>
        </a:xfrm>
        <a:prstGeom prst="rect">
          <a:avLst/>
        </a:prstGeom>
      </xdr:spPr>
    </xdr:pic>
    <xdr:clientData/>
  </xdr:twoCellAnchor>
  <xdr:twoCellAnchor editAs="oneCell">
    <xdr:from>
      <xdr:col>11</xdr:col>
      <xdr:colOff>276225</xdr:colOff>
      <xdr:row>33</xdr:row>
      <xdr:rowOff>66675</xdr:rowOff>
    </xdr:from>
    <xdr:to>
      <xdr:col>12</xdr:col>
      <xdr:colOff>514212</xdr:colOff>
      <xdr:row>34</xdr:row>
      <xdr:rowOff>134136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2650" y="5534025"/>
          <a:ext cx="847587" cy="25796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22860</xdr:colOff>
          <xdr:row>5</xdr:row>
          <xdr:rowOff>22860</xdr:rowOff>
        </xdr:from>
        <xdr:to>
          <xdr:col>15</xdr:col>
          <xdr:colOff>678180</xdr:colOff>
          <xdr:row>6</xdr:row>
          <xdr:rowOff>22860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3</xdr:row>
          <xdr:rowOff>7620</xdr:rowOff>
        </xdr:from>
        <xdr:to>
          <xdr:col>9</xdr:col>
          <xdr:colOff>556260</xdr:colOff>
          <xdr:row>3</xdr:row>
          <xdr:rowOff>182880</xdr:rowOff>
        </xdr:to>
        <xdr:sp macro="" textlink="">
          <xdr:nvSpPr>
            <xdr:cNvPr id="8194" name="Drop Down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274320</xdr:colOff>
          <xdr:row>5</xdr:row>
          <xdr:rowOff>7620</xdr:rowOff>
        </xdr:from>
        <xdr:to>
          <xdr:col>9</xdr:col>
          <xdr:colOff>563880</xdr:colOff>
          <xdr:row>5</xdr:row>
          <xdr:rowOff>182880</xdr:rowOff>
        </xdr:to>
        <xdr:sp macro="" textlink="">
          <xdr:nvSpPr>
            <xdr:cNvPr id="8195" name="Drop Down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533400</xdr:colOff>
          <xdr:row>3</xdr:row>
          <xdr:rowOff>0</xdr:rowOff>
        </xdr:from>
        <xdr:to>
          <xdr:col>12</xdr:col>
          <xdr:colOff>381000</xdr:colOff>
          <xdr:row>3</xdr:row>
          <xdr:rowOff>175260</xdr:rowOff>
        </xdr:to>
        <xdr:sp macro="" textlink="">
          <xdr:nvSpPr>
            <xdr:cNvPr id="8196" name="Drop Down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533400</xdr:colOff>
          <xdr:row>5</xdr:row>
          <xdr:rowOff>7620</xdr:rowOff>
        </xdr:from>
        <xdr:to>
          <xdr:col>12</xdr:col>
          <xdr:colOff>381000</xdr:colOff>
          <xdr:row>5</xdr:row>
          <xdr:rowOff>182880</xdr:rowOff>
        </xdr:to>
        <xdr:sp macro="" textlink="">
          <xdr:nvSpPr>
            <xdr:cNvPr id="8197" name="Drop Down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15</xdr:col>
      <xdr:colOff>161925</xdr:colOff>
      <xdr:row>8</xdr:row>
      <xdr:rowOff>66675</xdr:rowOff>
    </xdr:from>
    <xdr:to>
      <xdr:col>16</xdr:col>
      <xdr:colOff>85587</xdr:colOff>
      <xdr:row>9</xdr:row>
      <xdr:rowOff>134136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82300" y="1419225"/>
          <a:ext cx="847587" cy="2579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792480</xdr:colOff>
          <xdr:row>3</xdr:row>
          <xdr:rowOff>0</xdr:rowOff>
        </xdr:from>
        <xdr:to>
          <xdr:col>3</xdr:col>
          <xdr:colOff>632460</xdr:colOff>
          <xdr:row>3</xdr:row>
          <xdr:rowOff>175260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2</xdr:row>
          <xdr:rowOff>228600</xdr:rowOff>
        </xdr:from>
        <xdr:to>
          <xdr:col>6</xdr:col>
          <xdr:colOff>632460</xdr:colOff>
          <xdr:row>3</xdr:row>
          <xdr:rowOff>182880</xdr:rowOff>
        </xdr:to>
        <xdr:sp macro="" textlink="">
          <xdr:nvSpPr>
            <xdr:cNvPr id="11267" name="Button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6</xdr:col>
      <xdr:colOff>123825</xdr:colOff>
      <xdr:row>6</xdr:row>
      <xdr:rowOff>57150</xdr:rowOff>
    </xdr:from>
    <xdr:to>
      <xdr:col>7</xdr:col>
      <xdr:colOff>76062</xdr:colOff>
      <xdr:row>8</xdr:row>
      <xdr:rowOff>786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0350" y="1009650"/>
          <a:ext cx="847587" cy="2579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792480</xdr:colOff>
          <xdr:row>3</xdr:row>
          <xdr:rowOff>0</xdr:rowOff>
        </xdr:from>
        <xdr:to>
          <xdr:col>2</xdr:col>
          <xdr:colOff>1821180</xdr:colOff>
          <xdr:row>3</xdr:row>
          <xdr:rowOff>175260</xdr:rowOff>
        </xdr:to>
        <xdr:sp macro="" textlink="">
          <xdr:nvSpPr>
            <xdr:cNvPr id="12289" name="Drop Dow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3</xdr:row>
          <xdr:rowOff>106680</xdr:rowOff>
        </xdr:from>
        <xdr:to>
          <xdr:col>8</xdr:col>
          <xdr:colOff>114300</xdr:colOff>
          <xdr:row>5</xdr:row>
          <xdr:rowOff>22860</xdr:rowOff>
        </xdr:to>
        <xdr:sp macro="" textlink="">
          <xdr:nvSpPr>
            <xdr:cNvPr id="12290" name="Button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7</xdr:col>
      <xdr:colOff>828675</xdr:colOff>
      <xdr:row>7</xdr:row>
      <xdr:rowOff>85725</xdr:rowOff>
    </xdr:from>
    <xdr:to>
      <xdr:col>9</xdr:col>
      <xdr:colOff>171312</xdr:colOff>
      <xdr:row>8</xdr:row>
      <xdr:rowOff>229386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0" y="1238250"/>
          <a:ext cx="847587" cy="25796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480060</xdr:colOff>
          <xdr:row>2</xdr:row>
          <xdr:rowOff>220980</xdr:rowOff>
        </xdr:from>
        <xdr:to>
          <xdr:col>2</xdr:col>
          <xdr:colOff>1508760</xdr:colOff>
          <xdr:row>3</xdr:row>
          <xdr:rowOff>152400</xdr:rowOff>
        </xdr:to>
        <xdr:sp macro="" textlink="">
          <xdr:nvSpPr>
            <xdr:cNvPr id="13313" name="Drop Down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19</xdr:col>
      <xdr:colOff>371475</xdr:colOff>
      <xdr:row>6</xdr:row>
      <xdr:rowOff>85725</xdr:rowOff>
    </xdr:from>
    <xdr:to>
      <xdr:col>21</xdr:col>
      <xdr:colOff>104637</xdr:colOff>
      <xdr:row>7</xdr:row>
      <xdr:rowOff>153186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3900" y="1171575"/>
          <a:ext cx="847587" cy="25796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792480</xdr:colOff>
          <xdr:row>3</xdr:row>
          <xdr:rowOff>0</xdr:rowOff>
        </xdr:from>
        <xdr:to>
          <xdr:col>3</xdr:col>
          <xdr:colOff>632460</xdr:colOff>
          <xdr:row>3</xdr:row>
          <xdr:rowOff>175260</xdr:rowOff>
        </xdr:to>
        <xdr:sp macro="" textlink="">
          <xdr:nvSpPr>
            <xdr:cNvPr id="10253" name="Drop Down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259080</xdr:colOff>
          <xdr:row>2</xdr:row>
          <xdr:rowOff>228600</xdr:rowOff>
        </xdr:from>
        <xdr:to>
          <xdr:col>16</xdr:col>
          <xdr:colOff>304800</xdr:colOff>
          <xdr:row>3</xdr:row>
          <xdr:rowOff>182880</xdr:rowOff>
        </xdr:to>
        <xdr:sp macro="" textlink="">
          <xdr:nvSpPr>
            <xdr:cNvPr id="10254" name="Button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Filter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792480</xdr:colOff>
          <xdr:row>3</xdr:row>
          <xdr:rowOff>0</xdr:rowOff>
        </xdr:from>
        <xdr:to>
          <xdr:col>6</xdr:col>
          <xdr:colOff>419100</xdr:colOff>
          <xdr:row>3</xdr:row>
          <xdr:rowOff>175260</xdr:rowOff>
        </xdr:to>
        <xdr:sp macro="" textlink="">
          <xdr:nvSpPr>
            <xdr:cNvPr id="10255" name="Drop Down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16</xdr:col>
      <xdr:colOff>142875</xdr:colOff>
      <xdr:row>6</xdr:row>
      <xdr:rowOff>57150</xdr:rowOff>
    </xdr:from>
    <xdr:to>
      <xdr:col>17</xdr:col>
      <xdr:colOff>95112</xdr:colOff>
      <xdr:row>8</xdr:row>
      <xdr:rowOff>786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34725" y="1009650"/>
          <a:ext cx="847587" cy="257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.xml"/><Relationship Id="rId3" Type="http://schemas.openxmlformats.org/officeDocument/2006/relationships/ctrlProp" Target="../ctrlProps/ctrlProp12.xml"/><Relationship Id="rId7" Type="http://schemas.openxmlformats.org/officeDocument/2006/relationships/ctrlProp" Target="../ctrlProps/ctrlProp16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3" Type="http://schemas.openxmlformats.org/officeDocument/2006/relationships/ctrlProp" Target="../ctrlProps/ctrlProp18.xml"/><Relationship Id="rId7" Type="http://schemas.openxmlformats.org/officeDocument/2006/relationships/ctrlProp" Target="../ctrlProps/ctrlProp2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21.xml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0.xml"/><Relationship Id="rId3" Type="http://schemas.openxmlformats.org/officeDocument/2006/relationships/ctrlProp" Target="../ctrlProps/ctrlProp25.xml"/><Relationship Id="rId7" Type="http://schemas.openxmlformats.org/officeDocument/2006/relationships/ctrlProp" Target="../ctrlProps/ctrlProp2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28.xml"/><Relationship Id="rId5" Type="http://schemas.openxmlformats.org/officeDocument/2006/relationships/ctrlProp" Target="../ctrlProps/ctrlProp27.xml"/><Relationship Id="rId4" Type="http://schemas.openxmlformats.org/officeDocument/2006/relationships/ctrlProp" Target="../ctrlProps/ctrlProp26.xml"/><Relationship Id="rId9" Type="http://schemas.openxmlformats.org/officeDocument/2006/relationships/ctrlProp" Target="../ctrlProps/ctrlProp3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2.xml"/><Relationship Id="rId7" Type="http://schemas.openxmlformats.org/officeDocument/2006/relationships/ctrlProp" Target="../ctrlProps/ctrlProp3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35.xml"/><Relationship Id="rId5" Type="http://schemas.openxmlformats.org/officeDocument/2006/relationships/ctrlProp" Target="../ctrlProps/ctrlProp34.xml"/><Relationship Id="rId4" Type="http://schemas.openxmlformats.org/officeDocument/2006/relationships/ctrlProp" Target="../ctrlProps/ctrlProp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3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9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openxmlformats.org/officeDocument/2006/relationships/ctrlProp" Target="../ctrlProps/ctrlProp4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1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2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5" Type="http://schemas.openxmlformats.org/officeDocument/2006/relationships/ctrlProp" Target="../ctrlProps/ctrlProp44.xml"/><Relationship Id="rId4" Type="http://schemas.openxmlformats.org/officeDocument/2006/relationships/ctrlProp" Target="../ctrlProps/ctrlProp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2"/>
  <sheetViews>
    <sheetView showGridLines="0" workbookViewId="0"/>
  </sheetViews>
  <sheetFormatPr defaultRowHeight="14.4" x14ac:dyDescent="0.3"/>
  <cols>
    <col min="1" max="1" width="7" customWidth="1"/>
  </cols>
  <sheetData>
    <row r="2" spans="2:2" ht="21" x14ac:dyDescent="0.35">
      <c r="B2" s="36" t="s">
        <v>120</v>
      </c>
    </row>
    <row r="4" spans="2:2" ht="18.75" x14ac:dyDescent="0.3">
      <c r="B4" s="35" t="s">
        <v>119</v>
      </c>
    </row>
    <row r="5" spans="2:2" ht="7.5" customHeight="1" x14ac:dyDescent="0.25"/>
    <row r="6" spans="2:2" ht="15" x14ac:dyDescent="0.25">
      <c r="B6" s="2" t="s">
        <v>127</v>
      </c>
    </row>
    <row r="7" spans="2:2" ht="7.5" customHeight="1" x14ac:dyDescent="0.25"/>
    <row r="8" spans="2:2" ht="15" x14ac:dyDescent="0.25">
      <c r="B8" s="37" t="s">
        <v>111</v>
      </c>
    </row>
    <row r="9" spans="2:2" ht="15" x14ac:dyDescent="0.25">
      <c r="B9" s="37" t="s">
        <v>121</v>
      </c>
    </row>
    <row r="10" spans="2:2" ht="15" x14ac:dyDescent="0.25">
      <c r="B10" s="37" t="s">
        <v>21</v>
      </c>
    </row>
    <row r="11" spans="2:2" ht="15" x14ac:dyDescent="0.25">
      <c r="B11" s="37" t="s">
        <v>123</v>
      </c>
    </row>
    <row r="12" spans="2:2" ht="15" x14ac:dyDescent="0.25">
      <c r="B12" s="37" t="s">
        <v>122</v>
      </c>
    </row>
    <row r="13" spans="2:2" ht="15" x14ac:dyDescent="0.25">
      <c r="B13" s="37" t="s">
        <v>210</v>
      </c>
    </row>
    <row r="15" spans="2:2" ht="15" x14ac:dyDescent="0.25">
      <c r="B15" s="2" t="s">
        <v>128</v>
      </c>
    </row>
    <row r="16" spans="2:2" ht="7.5" customHeight="1" x14ac:dyDescent="0.25"/>
    <row r="17" spans="2:9" ht="15" x14ac:dyDescent="0.25">
      <c r="B17" s="37" t="s">
        <v>125</v>
      </c>
      <c r="C17" s="3"/>
      <c r="D17" s="3"/>
      <c r="E17" s="3"/>
      <c r="F17" s="3"/>
      <c r="G17" s="3"/>
      <c r="H17" s="3"/>
      <c r="I17" s="3"/>
    </row>
    <row r="18" spans="2:9" ht="15" x14ac:dyDescent="0.25">
      <c r="B18" s="37" t="s">
        <v>126</v>
      </c>
      <c r="C18" s="3"/>
      <c r="D18" s="3"/>
      <c r="E18" s="3"/>
      <c r="F18" s="3"/>
      <c r="G18" s="3"/>
      <c r="H18" s="3"/>
      <c r="I18" s="3"/>
    </row>
    <row r="19" spans="2:9" ht="15" x14ac:dyDescent="0.25">
      <c r="B19" s="37" t="s">
        <v>129</v>
      </c>
      <c r="C19" s="3"/>
      <c r="D19" s="3"/>
      <c r="E19" s="3"/>
      <c r="F19" s="3"/>
      <c r="G19" s="3"/>
      <c r="H19" s="3"/>
      <c r="I19" s="3"/>
    </row>
    <row r="20" spans="2:9" ht="15" x14ac:dyDescent="0.25">
      <c r="B20" s="37" t="s">
        <v>199</v>
      </c>
      <c r="C20" s="3"/>
      <c r="D20" s="3"/>
      <c r="E20" s="3"/>
      <c r="F20" s="3"/>
      <c r="G20" s="3"/>
      <c r="H20" s="3"/>
      <c r="I20" s="3"/>
    </row>
    <row r="22" spans="2:9" ht="15" x14ac:dyDescent="0.25">
      <c r="B22" s="2"/>
    </row>
  </sheetData>
  <sortState ref="B16:B20">
    <sortCondition ref="B16"/>
  </sortState>
  <hyperlinks>
    <hyperlink ref="B10" location="'Mon-Qrt-Year Comparison'!A1" display="Complaint Comparison Report"/>
    <hyperlink ref="B9" location="'Annual Comp Report'!A1" display="Annual Complaint Report"/>
    <hyperlink ref="B12" location="'DeptWise Complaint'!A1" display="Department Wise Complaints"/>
    <hyperlink ref="B11" location="'Complaint Type Analysis'!A1" display="Complaint Type wise Complaints"/>
    <hyperlink ref="B8" location="'Ageing Report'!A1" display="Ageing Report"/>
    <hyperlink ref="B17" location="BODYearly!A1" display="Board of Directors Quarterly Report"/>
    <hyperlink ref="B18" location="Closure!A1" display="Legal Complaint Closure Analysis"/>
    <hyperlink ref="B20" location="'Complaint Summary Dept - ANNUAL'!A1" display="Annual Departmental Complaint Analysis"/>
    <hyperlink ref="B19" location="'Qtr Comp Summary'!A1" display="Quarterly Department Complaint Analysis"/>
    <hyperlink ref="B13" location="ComplaintChannelAnalysis!A1" display="Complaint Channel Wise Complaint 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O26"/>
  <sheetViews>
    <sheetView showGridLines="0" tabSelected="1" workbookViewId="0">
      <selection activeCell="O7" sqref="O7"/>
    </sheetView>
  </sheetViews>
  <sheetFormatPr defaultRowHeight="14.4" x14ac:dyDescent="0.3"/>
  <cols>
    <col min="2" max="2" width="14.5546875" customWidth="1"/>
    <col min="3" max="3" width="13.5546875" customWidth="1"/>
    <col min="4" max="4" width="11.5546875" customWidth="1"/>
    <col min="5" max="5" width="8" customWidth="1"/>
    <col min="7" max="7" width="10.109375" customWidth="1"/>
    <col min="8" max="8" width="10.5546875" customWidth="1"/>
    <col min="9" max="9" width="14.109375" customWidth="1"/>
    <col min="10" max="10" width="9.6640625" customWidth="1"/>
  </cols>
  <sheetData>
    <row r="1" spans="2:15" ht="10.5" customHeight="1" x14ac:dyDescent="0.25"/>
    <row r="2" spans="2:15" ht="7.5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2:15" ht="18.75" x14ac:dyDescent="0.3">
      <c r="B3" s="7"/>
      <c r="C3" s="109" t="s">
        <v>14</v>
      </c>
      <c r="D3" s="109"/>
      <c r="E3" s="109"/>
      <c r="F3" s="109"/>
      <c r="G3" s="109"/>
      <c r="H3" s="109"/>
      <c r="I3" s="109"/>
      <c r="J3" s="109"/>
      <c r="K3" s="8"/>
      <c r="L3" s="8"/>
      <c r="M3" s="9"/>
      <c r="O3" s="37" t="s">
        <v>124</v>
      </c>
    </row>
    <row r="4" spans="2:15" ht="6" customHeight="1" x14ac:dyDescent="0.25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spans="2:15" ht="15" x14ac:dyDescent="0.25">
      <c r="B5" s="7"/>
      <c r="C5" s="11" t="s">
        <v>50</v>
      </c>
      <c r="D5" s="8"/>
      <c r="E5" s="8"/>
      <c r="F5" s="8"/>
      <c r="G5" s="8"/>
      <c r="H5" s="8"/>
      <c r="I5" s="8"/>
      <c r="J5" s="8"/>
      <c r="K5" s="8"/>
      <c r="L5" s="8"/>
      <c r="M5" s="9"/>
    </row>
    <row r="6" spans="2:15" ht="11.25" customHeight="1" x14ac:dyDescent="0.25">
      <c r="B6" s="7"/>
      <c r="C6" s="11"/>
      <c r="D6" s="8"/>
      <c r="E6" s="8"/>
      <c r="F6" s="8"/>
      <c r="G6" s="8"/>
      <c r="H6" s="8"/>
      <c r="I6" s="8"/>
      <c r="K6" s="8"/>
      <c r="L6" s="8"/>
      <c r="M6" s="9"/>
    </row>
    <row r="7" spans="2:15" ht="15" x14ac:dyDescent="0.25">
      <c r="B7" s="7"/>
      <c r="C7" s="11" t="s">
        <v>4</v>
      </c>
      <c r="D7" s="8"/>
      <c r="E7" s="8"/>
      <c r="F7" s="8"/>
      <c r="H7" s="11" t="s">
        <v>5</v>
      </c>
      <c r="I7" s="8"/>
      <c r="K7" s="8"/>
      <c r="L7" s="8"/>
      <c r="M7" s="9"/>
    </row>
    <row r="8" spans="2:15" ht="6" customHeight="1" x14ac:dyDescent="0.25">
      <c r="B8" s="7"/>
      <c r="C8" s="11"/>
      <c r="D8" s="8"/>
      <c r="E8" s="8"/>
      <c r="F8" s="8"/>
      <c r="H8" s="11"/>
      <c r="I8" s="8"/>
      <c r="K8" s="8"/>
      <c r="L8" s="8"/>
      <c r="M8" s="9"/>
    </row>
    <row r="9" spans="2:15" ht="15" x14ac:dyDescent="0.25">
      <c r="B9" s="7"/>
      <c r="C9" s="11" t="s">
        <v>6</v>
      </c>
      <c r="D9" s="8"/>
      <c r="E9" s="8"/>
      <c r="F9" s="8"/>
      <c r="H9" s="11" t="s">
        <v>7</v>
      </c>
      <c r="I9" s="8"/>
      <c r="K9" s="8"/>
      <c r="L9" s="8"/>
      <c r="M9" s="9"/>
    </row>
    <row r="10" spans="2:15" ht="5.25" customHeight="1" x14ac:dyDescent="0.25">
      <c r="B10" s="7"/>
      <c r="C10" s="11"/>
      <c r="D10" s="8"/>
      <c r="E10" s="8"/>
      <c r="F10" s="8"/>
      <c r="H10" s="11"/>
      <c r="I10" s="8"/>
      <c r="K10" s="8"/>
      <c r="L10" s="8"/>
      <c r="M10" s="9"/>
    </row>
    <row r="11" spans="2:15" ht="15" x14ac:dyDescent="0.25">
      <c r="B11" s="7"/>
      <c r="C11" s="11" t="s">
        <v>8</v>
      </c>
      <c r="D11" s="8"/>
      <c r="E11" s="8"/>
      <c r="F11" s="8"/>
      <c r="H11" s="11" t="s">
        <v>9</v>
      </c>
      <c r="I11" s="8"/>
      <c r="K11" s="8"/>
      <c r="L11" s="8"/>
      <c r="M11" s="9"/>
    </row>
    <row r="12" spans="2:15" ht="8.25" customHeight="1" x14ac:dyDescent="0.25"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/>
    </row>
    <row r="13" spans="2:15" ht="8.25" customHeight="1" x14ac:dyDescent="0.25"/>
    <row r="14" spans="2:15" ht="15" x14ac:dyDescent="0.2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</row>
    <row r="15" spans="2:15" ht="18.75" x14ac:dyDescent="0.3">
      <c r="B15" s="7"/>
      <c r="C15" s="109" t="s">
        <v>21</v>
      </c>
      <c r="D15" s="109"/>
      <c r="E15" s="109"/>
      <c r="F15" s="109"/>
      <c r="G15" s="109"/>
      <c r="H15" s="109"/>
      <c r="I15" s="109"/>
      <c r="J15" s="109"/>
      <c r="K15" s="8"/>
      <c r="L15" s="8"/>
      <c r="M15" s="9"/>
    </row>
    <row r="16" spans="2:15" ht="15" x14ac:dyDescent="0.25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2:13" ht="15" x14ac:dyDescent="0.25">
      <c r="B17" s="7"/>
      <c r="C17" s="10" t="s">
        <v>17</v>
      </c>
      <c r="D17" s="11" t="s">
        <v>2</v>
      </c>
      <c r="E17" s="11"/>
      <c r="F17" s="11"/>
      <c r="G17" s="8"/>
      <c r="H17" s="8"/>
      <c r="I17" s="10" t="s">
        <v>25</v>
      </c>
      <c r="J17" s="11" t="s">
        <v>20</v>
      </c>
      <c r="K17" s="11"/>
      <c r="L17" s="8"/>
      <c r="M17" s="9"/>
    </row>
    <row r="18" spans="2:13" ht="15" x14ac:dyDescent="0.25">
      <c r="B18" s="7"/>
      <c r="C18" s="10" t="s">
        <v>11</v>
      </c>
      <c r="D18" s="12">
        <v>42370</v>
      </c>
      <c r="E18" s="11"/>
      <c r="F18" s="11"/>
      <c r="G18" s="8"/>
      <c r="H18" s="8"/>
      <c r="I18" s="10" t="s">
        <v>18</v>
      </c>
      <c r="J18" s="11">
        <v>1</v>
      </c>
      <c r="K18" s="11"/>
      <c r="L18" s="8"/>
      <c r="M18" s="9"/>
    </row>
    <row r="19" spans="2:13" ht="15" x14ac:dyDescent="0.25">
      <c r="B19" s="7"/>
      <c r="C19" s="10" t="s">
        <v>12</v>
      </c>
      <c r="D19" s="12">
        <v>43132</v>
      </c>
      <c r="E19" s="11"/>
      <c r="F19" s="11"/>
      <c r="G19" s="11"/>
      <c r="H19" s="11"/>
      <c r="I19" s="11"/>
      <c r="J19" s="11"/>
      <c r="K19" s="11"/>
      <c r="L19" s="8"/>
      <c r="M19" s="9"/>
    </row>
    <row r="20" spans="2:13" ht="9.75" customHeight="1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</row>
    <row r="21" spans="2:13" ht="15" x14ac:dyDescent="0.25">
      <c r="B21" s="7"/>
      <c r="C21" s="110" t="s">
        <v>22</v>
      </c>
      <c r="D21" s="110"/>
      <c r="E21" s="110"/>
      <c r="F21" s="110" t="s">
        <v>23</v>
      </c>
      <c r="G21" s="110"/>
      <c r="H21" s="110"/>
      <c r="I21" s="110" t="s">
        <v>16</v>
      </c>
      <c r="J21" s="110"/>
      <c r="K21" s="110"/>
      <c r="L21" s="8"/>
      <c r="M21" s="9"/>
    </row>
    <row r="22" spans="2:13" ht="15" x14ac:dyDescent="0.25">
      <c r="B22" s="7"/>
      <c r="C22" s="105" t="s">
        <v>15</v>
      </c>
      <c r="D22" s="105"/>
      <c r="E22" s="105"/>
      <c r="F22" s="105" t="s">
        <v>15</v>
      </c>
      <c r="G22" s="105"/>
      <c r="H22" s="105"/>
      <c r="I22" s="105" t="s">
        <v>19</v>
      </c>
      <c r="J22" s="105"/>
      <c r="K22" s="105"/>
      <c r="L22" s="8"/>
      <c r="M22" s="9"/>
    </row>
    <row r="23" spans="2:13" ht="15" x14ac:dyDescent="0.25">
      <c r="B23" s="7"/>
      <c r="C23" s="105">
        <v>127</v>
      </c>
      <c r="D23" s="105"/>
      <c r="E23" s="105"/>
      <c r="F23" s="105">
        <v>65</v>
      </c>
      <c r="G23" s="105"/>
      <c r="H23" s="105"/>
      <c r="I23" s="106">
        <f>(C23-F23)/(C23+F23)%</f>
        <v>32.291666666666671</v>
      </c>
      <c r="J23" s="106"/>
      <c r="K23" s="106"/>
      <c r="L23" s="8"/>
      <c r="M23" s="9"/>
    </row>
    <row r="24" spans="2:13" ht="9" customHeight="1" x14ac:dyDescent="0.25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</row>
    <row r="25" spans="2:13" ht="15" x14ac:dyDescent="0.25">
      <c r="B25" s="7"/>
      <c r="C25" s="8"/>
      <c r="D25" s="8"/>
      <c r="E25" s="8"/>
      <c r="F25" s="8"/>
      <c r="G25" s="8"/>
      <c r="H25" s="8"/>
      <c r="I25" s="8"/>
      <c r="J25" s="8"/>
      <c r="K25" s="8"/>
      <c r="L25" s="107" t="s">
        <v>24</v>
      </c>
      <c r="M25" s="108"/>
    </row>
    <row r="26" spans="2:13" ht="7.5" customHeight="1" x14ac:dyDescent="0.25"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5"/>
    </row>
  </sheetData>
  <mergeCells count="12">
    <mergeCell ref="C23:E23"/>
    <mergeCell ref="F23:H23"/>
    <mergeCell ref="I23:K23"/>
    <mergeCell ref="L25:M25"/>
    <mergeCell ref="C3:J3"/>
    <mergeCell ref="C15:J15"/>
    <mergeCell ref="C21:E21"/>
    <mergeCell ref="C22:E22"/>
    <mergeCell ref="F21:H21"/>
    <mergeCell ref="F22:H22"/>
    <mergeCell ref="I21:K21"/>
    <mergeCell ref="I22:K22"/>
  </mergeCells>
  <hyperlinks>
    <hyperlink ref="O3" location="Index!A1" display="Back to Index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2</xdr:col>
                    <xdr:colOff>784860</xdr:colOff>
                    <xdr:row>4</xdr:row>
                    <xdr:rowOff>22860</xdr:rowOff>
                  </from>
                  <to>
                    <xdr:col>5</xdr:col>
                    <xdr:colOff>83820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2</xdr:col>
                    <xdr:colOff>807720</xdr:colOff>
                    <xdr:row>6</xdr:row>
                    <xdr:rowOff>0</xdr:rowOff>
                  </from>
                  <to>
                    <xdr:col>4</xdr:col>
                    <xdr:colOff>137160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Drop Down 4">
              <controlPr defaultSize="0" autoLine="0" autoPict="0">
                <anchor moveWithCells="1">
                  <from>
                    <xdr:col>8</xdr:col>
                    <xdr:colOff>99060</xdr:colOff>
                    <xdr:row>6</xdr:row>
                    <xdr:rowOff>0</xdr:rowOff>
                  </from>
                  <to>
                    <xdr:col>9</xdr:col>
                    <xdr:colOff>152400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Drop Down 5">
              <controlPr defaultSize="0" autoLine="0" autoPict="0">
                <anchor moveWithCells="1">
                  <from>
                    <xdr:col>2</xdr:col>
                    <xdr:colOff>807720</xdr:colOff>
                    <xdr:row>8</xdr:row>
                    <xdr:rowOff>7620</xdr:rowOff>
                  </from>
                  <to>
                    <xdr:col>4</xdr:col>
                    <xdr:colOff>137160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Drop Down 6">
              <controlPr defaultSize="0" autoLine="0" autoPict="0">
                <anchor moveWithCells="1">
                  <from>
                    <xdr:col>8</xdr:col>
                    <xdr:colOff>99060</xdr:colOff>
                    <xdr:row>8</xdr:row>
                    <xdr:rowOff>0</xdr:rowOff>
                  </from>
                  <to>
                    <xdr:col>9</xdr:col>
                    <xdr:colOff>152400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Drop Down 8">
              <controlPr defaultSize="0" autoLine="0" autoPict="0">
                <anchor moveWithCells="1">
                  <from>
                    <xdr:col>2</xdr:col>
                    <xdr:colOff>807720</xdr:colOff>
                    <xdr:row>10</xdr:row>
                    <xdr:rowOff>7620</xdr:rowOff>
                  </from>
                  <to>
                    <xdr:col>4</xdr:col>
                    <xdr:colOff>137160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Drop Down 9">
              <controlPr defaultSize="0" autoLine="0" autoPict="0">
                <anchor moveWithCells="1">
                  <from>
                    <xdr:col>8</xdr:col>
                    <xdr:colOff>83820</xdr:colOff>
                    <xdr:row>10</xdr:row>
                    <xdr:rowOff>7620</xdr:rowOff>
                  </from>
                  <to>
                    <xdr:col>9</xdr:col>
                    <xdr:colOff>144780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Button 10">
              <controlPr defaultSize="0" print="0" autoFill="0" autoPict="0" macro="[0]!Button10_Click">
                <anchor moveWithCells="1" sizeWithCells="1">
                  <from>
                    <xdr:col>11</xdr:col>
                    <xdr:colOff>0</xdr:colOff>
                    <xdr:row>10</xdr:row>
                    <xdr:rowOff>0</xdr:rowOff>
                  </from>
                  <to>
                    <xdr:col>12</xdr:col>
                    <xdr:colOff>45720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44"/>
  <sheetViews>
    <sheetView showGridLines="0" workbookViewId="0">
      <selection activeCell="N10" sqref="N10"/>
    </sheetView>
  </sheetViews>
  <sheetFormatPr defaultRowHeight="14.4" x14ac:dyDescent="0.3"/>
  <cols>
    <col min="3" max="3" width="12" bestFit="1" customWidth="1"/>
    <col min="12" max="12" width="8.44140625" customWidth="1"/>
    <col min="13" max="13" width="2.33203125" customWidth="1"/>
  </cols>
  <sheetData>
    <row r="1" spans="2:15" ht="5.25" customHeight="1" x14ac:dyDescent="0.25"/>
    <row r="2" spans="2:15" ht="4.5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2:15" ht="18.75" x14ac:dyDescent="0.3">
      <c r="B3" s="7"/>
      <c r="C3" s="109" t="s">
        <v>14</v>
      </c>
      <c r="D3" s="109"/>
      <c r="E3" s="109"/>
      <c r="F3" s="109"/>
      <c r="G3" s="109"/>
      <c r="H3" s="109"/>
      <c r="I3" s="109"/>
      <c r="J3" s="109"/>
      <c r="K3" s="8"/>
      <c r="L3" s="8"/>
      <c r="M3" s="9"/>
      <c r="O3" s="37" t="s">
        <v>124</v>
      </c>
    </row>
    <row r="4" spans="2:15" ht="8.25" customHeight="1" x14ac:dyDescent="0.3">
      <c r="B4" s="7"/>
      <c r="C4" s="17"/>
      <c r="D4" s="17"/>
      <c r="E4" s="17"/>
      <c r="F4" s="17"/>
      <c r="G4" s="17"/>
      <c r="H4" s="17"/>
      <c r="I4" s="17"/>
      <c r="J4" s="17"/>
      <c r="K4" s="8"/>
      <c r="L4" s="8"/>
      <c r="M4" s="9"/>
    </row>
    <row r="5" spans="2:15" ht="15" x14ac:dyDescent="0.25">
      <c r="B5" s="7"/>
      <c r="C5" s="8" t="s">
        <v>8</v>
      </c>
      <c r="D5" s="8"/>
      <c r="E5" s="8"/>
      <c r="F5" s="8"/>
      <c r="H5" s="8" t="s">
        <v>9</v>
      </c>
      <c r="I5" s="8"/>
      <c r="K5" s="8"/>
      <c r="L5" s="8"/>
      <c r="M5" s="9"/>
    </row>
    <row r="6" spans="2:15" ht="6" customHeight="1" x14ac:dyDescent="0.25"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</row>
    <row r="7" spans="2:15" ht="6" customHeight="1" x14ac:dyDescent="0.25"/>
    <row r="8" spans="2:15" ht="6.75" customHeight="1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6"/>
    </row>
    <row r="9" spans="2:15" ht="18.75" x14ac:dyDescent="0.3">
      <c r="B9" s="7"/>
      <c r="C9" s="109" t="s">
        <v>26</v>
      </c>
      <c r="D9" s="109"/>
      <c r="E9" s="109"/>
      <c r="F9" s="109"/>
      <c r="G9" s="109"/>
      <c r="H9" s="109"/>
      <c r="I9" s="109"/>
      <c r="J9" s="109"/>
      <c r="K9" s="8"/>
      <c r="L9" s="8"/>
      <c r="M9" s="9"/>
    </row>
    <row r="10" spans="2:15" ht="7.5" customHeight="1" x14ac:dyDescent="0.25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</row>
    <row r="11" spans="2:15" ht="15" x14ac:dyDescent="0.25">
      <c r="B11" s="7"/>
      <c r="C11" s="10" t="s">
        <v>8</v>
      </c>
      <c r="D11" s="11">
        <v>2016</v>
      </c>
      <c r="E11" s="11"/>
      <c r="F11" s="11"/>
      <c r="G11" s="8"/>
      <c r="H11" s="8"/>
      <c r="I11" s="10" t="s">
        <v>25</v>
      </c>
      <c r="J11" s="11" t="s">
        <v>20</v>
      </c>
      <c r="K11" s="11"/>
      <c r="L11" s="8"/>
      <c r="M11" s="9"/>
    </row>
    <row r="12" spans="2:15" ht="15" x14ac:dyDescent="0.25">
      <c r="B12" s="7"/>
      <c r="C12" s="10" t="s">
        <v>9</v>
      </c>
      <c r="D12" s="11">
        <v>2017</v>
      </c>
      <c r="E12" s="11"/>
      <c r="F12" s="11"/>
      <c r="G12" s="8"/>
      <c r="H12" s="8"/>
      <c r="I12" s="10" t="s">
        <v>18</v>
      </c>
      <c r="J12" s="11">
        <v>2</v>
      </c>
      <c r="K12" s="11"/>
      <c r="L12" s="8"/>
      <c r="M12" s="9"/>
    </row>
    <row r="13" spans="2:15" ht="6.75" customHeight="1" x14ac:dyDescent="0.2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</row>
    <row r="14" spans="2:15" ht="15" x14ac:dyDescent="0.25">
      <c r="B14" s="7"/>
      <c r="C14" s="112" t="s">
        <v>10</v>
      </c>
      <c r="D14" s="113"/>
      <c r="E14" s="112" t="s">
        <v>28</v>
      </c>
      <c r="F14" s="113"/>
      <c r="G14" s="112" t="s">
        <v>29</v>
      </c>
      <c r="H14" s="113"/>
      <c r="I14" s="110" t="s">
        <v>16</v>
      </c>
      <c r="J14" s="110"/>
      <c r="K14" s="110"/>
      <c r="L14" s="8"/>
      <c r="M14" s="9"/>
    </row>
    <row r="15" spans="2:15" ht="15" x14ac:dyDescent="0.25">
      <c r="B15" s="7"/>
      <c r="C15" s="114" t="s">
        <v>27</v>
      </c>
      <c r="D15" s="115"/>
      <c r="E15" s="114">
        <v>127</v>
      </c>
      <c r="F15" s="115"/>
      <c r="G15" s="114">
        <v>65</v>
      </c>
      <c r="H15" s="115"/>
      <c r="I15" s="111">
        <f>(E15-G15)/(E15+G15)</f>
        <v>0.32291666666666669</v>
      </c>
      <c r="J15" s="111"/>
      <c r="K15" s="111"/>
      <c r="L15" s="8"/>
      <c r="M15" s="9"/>
      <c r="O15" s="2" t="s">
        <v>41</v>
      </c>
    </row>
    <row r="16" spans="2:15" ht="15" x14ac:dyDescent="0.25">
      <c r="B16" s="7"/>
      <c r="C16" s="114" t="s">
        <v>30</v>
      </c>
      <c r="D16" s="115"/>
      <c r="E16" s="114">
        <v>108</v>
      </c>
      <c r="F16" s="115"/>
      <c r="G16" s="114">
        <v>51</v>
      </c>
      <c r="H16" s="115"/>
      <c r="I16" s="111">
        <f t="shared" ref="I16:I27" si="0">(E16-G16)/(E16+G16)</f>
        <v>0.35849056603773582</v>
      </c>
      <c r="J16" s="111"/>
      <c r="K16" s="111"/>
      <c r="L16" s="8"/>
      <c r="M16" s="9"/>
      <c r="O16" t="s">
        <v>42</v>
      </c>
    </row>
    <row r="17" spans="2:15" ht="15" x14ac:dyDescent="0.25">
      <c r="B17" s="7"/>
      <c r="C17" s="114" t="s">
        <v>31</v>
      </c>
      <c r="D17" s="115"/>
      <c r="E17" s="114">
        <v>96</v>
      </c>
      <c r="F17" s="115"/>
      <c r="G17" s="114">
        <v>50</v>
      </c>
      <c r="H17" s="115"/>
      <c r="I17" s="111">
        <f t="shared" si="0"/>
        <v>0.31506849315068491</v>
      </c>
      <c r="J17" s="111"/>
      <c r="K17" s="111"/>
      <c r="L17" s="8"/>
      <c r="M17" s="9"/>
    </row>
    <row r="18" spans="2:15" ht="15" x14ac:dyDescent="0.25">
      <c r="B18" s="7"/>
      <c r="C18" s="114" t="s">
        <v>32</v>
      </c>
      <c r="D18" s="115"/>
      <c r="E18" s="114">
        <v>106</v>
      </c>
      <c r="F18" s="115"/>
      <c r="G18" s="114">
        <v>34</v>
      </c>
      <c r="H18" s="115"/>
      <c r="I18" s="111">
        <f t="shared" si="0"/>
        <v>0.51428571428571423</v>
      </c>
      <c r="J18" s="111"/>
      <c r="K18" s="111"/>
      <c r="L18" s="8"/>
      <c r="M18" s="9"/>
      <c r="O18" t="s">
        <v>43</v>
      </c>
    </row>
    <row r="19" spans="2:15" ht="15" x14ac:dyDescent="0.25">
      <c r="B19" s="7"/>
      <c r="C19" s="114" t="s">
        <v>33</v>
      </c>
      <c r="D19" s="115"/>
      <c r="E19" s="114">
        <v>64</v>
      </c>
      <c r="F19" s="115"/>
      <c r="G19" s="114">
        <v>62</v>
      </c>
      <c r="H19" s="115"/>
      <c r="I19" s="111">
        <f t="shared" si="0"/>
        <v>1.5873015873015872E-2</v>
      </c>
      <c r="J19" s="111"/>
      <c r="K19" s="111"/>
      <c r="L19" s="8"/>
      <c r="M19" s="9"/>
      <c r="O19" t="s">
        <v>44</v>
      </c>
    </row>
    <row r="20" spans="2:15" ht="15" x14ac:dyDescent="0.25">
      <c r="B20" s="7"/>
      <c r="C20" s="114" t="s">
        <v>34</v>
      </c>
      <c r="D20" s="115"/>
      <c r="E20" s="114">
        <v>31</v>
      </c>
      <c r="F20" s="115"/>
      <c r="G20" s="114">
        <v>31</v>
      </c>
      <c r="H20" s="115"/>
      <c r="I20" s="111">
        <f t="shared" si="0"/>
        <v>0</v>
      </c>
      <c r="J20" s="111"/>
      <c r="K20" s="111"/>
      <c r="L20" s="8"/>
      <c r="M20" s="9"/>
    </row>
    <row r="21" spans="2:15" ht="15" x14ac:dyDescent="0.25">
      <c r="B21" s="7"/>
      <c r="C21" s="114" t="s">
        <v>35</v>
      </c>
      <c r="D21" s="115"/>
      <c r="E21" s="114">
        <v>65</v>
      </c>
      <c r="F21" s="115"/>
      <c r="G21" s="114">
        <v>16</v>
      </c>
      <c r="H21" s="115"/>
      <c r="I21" s="111">
        <f t="shared" si="0"/>
        <v>0.60493827160493829</v>
      </c>
      <c r="J21" s="111"/>
      <c r="K21" s="111"/>
      <c r="L21" s="8"/>
      <c r="M21" s="9"/>
    </row>
    <row r="22" spans="2:15" ht="15" x14ac:dyDescent="0.25">
      <c r="B22" s="7"/>
      <c r="C22" s="114" t="s">
        <v>36</v>
      </c>
      <c r="D22" s="115"/>
      <c r="E22" s="114">
        <v>38</v>
      </c>
      <c r="F22" s="115"/>
      <c r="G22" s="114">
        <v>15</v>
      </c>
      <c r="H22" s="115"/>
      <c r="I22" s="111">
        <f t="shared" si="0"/>
        <v>0.43396226415094341</v>
      </c>
      <c r="J22" s="111"/>
      <c r="K22" s="111"/>
      <c r="L22" s="8"/>
      <c r="M22" s="9"/>
    </row>
    <row r="23" spans="2:15" ht="15" x14ac:dyDescent="0.25">
      <c r="B23" s="7"/>
      <c r="C23" s="114" t="s">
        <v>37</v>
      </c>
      <c r="D23" s="115"/>
      <c r="E23" s="114">
        <v>57</v>
      </c>
      <c r="F23" s="115"/>
      <c r="G23" s="114">
        <v>14</v>
      </c>
      <c r="H23" s="115"/>
      <c r="I23" s="111">
        <f t="shared" si="0"/>
        <v>0.60563380281690138</v>
      </c>
      <c r="J23" s="111"/>
      <c r="K23" s="111"/>
      <c r="L23" s="8"/>
      <c r="M23" s="9"/>
    </row>
    <row r="24" spans="2:15" ht="15" x14ac:dyDescent="0.25">
      <c r="B24" s="7"/>
      <c r="C24" s="114" t="s">
        <v>38</v>
      </c>
      <c r="D24" s="115"/>
      <c r="E24" s="114">
        <v>40</v>
      </c>
      <c r="F24" s="115"/>
      <c r="G24" s="114">
        <v>9</v>
      </c>
      <c r="H24" s="115"/>
      <c r="I24" s="111">
        <f t="shared" si="0"/>
        <v>0.63265306122448983</v>
      </c>
      <c r="J24" s="111"/>
      <c r="K24" s="111"/>
      <c r="L24" s="8"/>
      <c r="M24" s="9"/>
    </row>
    <row r="25" spans="2:15" ht="15" x14ac:dyDescent="0.25">
      <c r="B25" s="7"/>
      <c r="C25" s="114" t="s">
        <v>39</v>
      </c>
      <c r="D25" s="115"/>
      <c r="E25" s="114">
        <v>40</v>
      </c>
      <c r="F25" s="115"/>
      <c r="G25" s="114">
        <v>1</v>
      </c>
      <c r="H25" s="115"/>
      <c r="I25" s="111">
        <f t="shared" si="0"/>
        <v>0.95121951219512191</v>
      </c>
      <c r="J25" s="111"/>
      <c r="K25" s="111"/>
      <c r="L25" s="8"/>
      <c r="M25" s="9"/>
    </row>
    <row r="26" spans="2:15" ht="15" x14ac:dyDescent="0.25">
      <c r="B26" s="7"/>
      <c r="C26" s="114" t="s">
        <v>40</v>
      </c>
      <c r="D26" s="115"/>
      <c r="E26" s="114">
        <v>32</v>
      </c>
      <c r="F26" s="115"/>
      <c r="G26" s="114">
        <v>13</v>
      </c>
      <c r="H26" s="115"/>
      <c r="I26" s="111">
        <f t="shared" si="0"/>
        <v>0.42222222222222222</v>
      </c>
      <c r="J26" s="111"/>
      <c r="K26" s="111"/>
      <c r="L26" s="8"/>
      <c r="M26" s="9"/>
    </row>
    <row r="27" spans="2:15" ht="15" x14ac:dyDescent="0.25">
      <c r="B27" s="7"/>
      <c r="C27" s="120" t="s">
        <v>45</v>
      </c>
      <c r="D27" s="121"/>
      <c r="E27" s="114">
        <f>SUM(E15:F26)</f>
        <v>804</v>
      </c>
      <c r="F27" s="115"/>
      <c r="G27" s="114">
        <f>SUM(G15:H26)</f>
        <v>361</v>
      </c>
      <c r="H27" s="115"/>
      <c r="I27" s="111">
        <f t="shared" si="0"/>
        <v>0.38025751072961372</v>
      </c>
      <c r="J27" s="111"/>
      <c r="K27" s="111"/>
      <c r="L27" s="107"/>
      <c r="M27" s="108"/>
    </row>
    <row r="28" spans="2:15" x14ac:dyDescent="0.3">
      <c r="B28" s="7"/>
      <c r="C28" s="21"/>
      <c r="D28" s="21"/>
      <c r="E28" s="20"/>
      <c r="F28" s="20"/>
      <c r="G28" s="20"/>
      <c r="H28" s="20"/>
      <c r="I28" s="20"/>
      <c r="J28" s="20"/>
      <c r="K28" s="20"/>
      <c r="L28" s="20" t="s">
        <v>46</v>
      </c>
      <c r="M28" s="16"/>
    </row>
    <row r="29" spans="2:15" x14ac:dyDescent="0.3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5"/>
    </row>
    <row r="30" spans="2:15" ht="7.5" customHeight="1" x14ac:dyDescent="0.3"/>
    <row r="31" spans="2:15" x14ac:dyDescent="0.3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</row>
    <row r="32" spans="2:15" x14ac:dyDescent="0.3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</row>
    <row r="33" spans="2:13" x14ac:dyDescent="0.3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</row>
    <row r="34" spans="2:13" x14ac:dyDescent="0.3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9"/>
    </row>
    <row r="35" spans="2:13" x14ac:dyDescent="0.3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  <row r="36" spans="2:13" x14ac:dyDescent="0.3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7" spans="2:13" x14ac:dyDescent="0.3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9"/>
    </row>
    <row r="38" spans="2:13" x14ac:dyDescent="0.3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</row>
    <row r="39" spans="2:13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9"/>
    </row>
    <row r="40" spans="2:13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9"/>
    </row>
    <row r="41" spans="2:13" x14ac:dyDescent="0.3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9"/>
    </row>
    <row r="42" spans="2:13" x14ac:dyDescent="0.3"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</row>
    <row r="43" spans="2:13" x14ac:dyDescent="0.3">
      <c r="B43" s="7"/>
      <c r="C43" s="8"/>
      <c r="D43" s="8"/>
      <c r="E43" s="8"/>
      <c r="F43" s="8"/>
      <c r="G43" s="8"/>
      <c r="H43" s="8"/>
      <c r="I43" s="8"/>
      <c r="J43" s="8"/>
      <c r="K43" s="8"/>
      <c r="L43" s="116" t="s">
        <v>56</v>
      </c>
      <c r="M43" s="117"/>
    </row>
    <row r="44" spans="2:13" x14ac:dyDescent="0.3"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18"/>
      <c r="M44" s="119"/>
    </row>
  </sheetData>
  <mergeCells count="60">
    <mergeCell ref="L43:M44"/>
    <mergeCell ref="I25:K25"/>
    <mergeCell ref="I26:K26"/>
    <mergeCell ref="C27:D27"/>
    <mergeCell ref="E27:F27"/>
    <mergeCell ref="G27:H27"/>
    <mergeCell ref="I27:K27"/>
    <mergeCell ref="E26:F26"/>
    <mergeCell ref="G26:H26"/>
    <mergeCell ref="E25:F25"/>
    <mergeCell ref="G25:H25"/>
    <mergeCell ref="L27:M27"/>
    <mergeCell ref="I17:K17"/>
    <mergeCell ref="I18:K18"/>
    <mergeCell ref="I19:K19"/>
    <mergeCell ref="I20:K20"/>
    <mergeCell ref="I21:K21"/>
    <mergeCell ref="I22:K22"/>
    <mergeCell ref="I23:K23"/>
    <mergeCell ref="I24:K24"/>
    <mergeCell ref="E23:F23"/>
    <mergeCell ref="G23:H23"/>
    <mergeCell ref="E24:F24"/>
    <mergeCell ref="G24:H24"/>
    <mergeCell ref="G20:H20"/>
    <mergeCell ref="E21:F21"/>
    <mergeCell ref="G21:H21"/>
    <mergeCell ref="E22:F22"/>
    <mergeCell ref="G22:H22"/>
    <mergeCell ref="C23:D23"/>
    <mergeCell ref="C24:D24"/>
    <mergeCell ref="C25:D25"/>
    <mergeCell ref="C26:D26"/>
    <mergeCell ref="E17:F17"/>
    <mergeCell ref="C17:D17"/>
    <mergeCell ref="C18:D18"/>
    <mergeCell ref="C19:D19"/>
    <mergeCell ref="C20:D20"/>
    <mergeCell ref="C21:D21"/>
    <mergeCell ref="C22:D22"/>
    <mergeCell ref="E20:F20"/>
    <mergeCell ref="G17:H17"/>
    <mergeCell ref="E18:F18"/>
    <mergeCell ref="G18:H18"/>
    <mergeCell ref="E19:F19"/>
    <mergeCell ref="G19:H19"/>
    <mergeCell ref="I15:K15"/>
    <mergeCell ref="I16:K16"/>
    <mergeCell ref="C3:J3"/>
    <mergeCell ref="C9:J9"/>
    <mergeCell ref="I14:K14"/>
    <mergeCell ref="C14:D14"/>
    <mergeCell ref="C15:D15"/>
    <mergeCell ref="E14:F14"/>
    <mergeCell ref="G14:H14"/>
    <mergeCell ref="C16:D16"/>
    <mergeCell ref="E15:F15"/>
    <mergeCell ref="E16:F16"/>
    <mergeCell ref="G16:H16"/>
    <mergeCell ref="G15:H15"/>
  </mergeCells>
  <hyperlinks>
    <hyperlink ref="O3" location="Index!A1" display="Back to Index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6" r:id="rId3" name="Drop Down 14">
              <controlPr defaultSize="0" autoLine="0" autoPict="0">
                <anchor moveWithCells="1">
                  <from>
                    <xdr:col>2</xdr:col>
                    <xdr:colOff>579120</xdr:colOff>
                    <xdr:row>3</xdr:row>
                    <xdr:rowOff>228600</xdr:rowOff>
                  </from>
                  <to>
                    <xdr:col>4</xdr:col>
                    <xdr:colOff>175260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4" name="Drop Down 15">
              <controlPr defaultSize="0" autoLine="0" autoPict="0">
                <anchor moveWithCells="1">
                  <from>
                    <xdr:col>8</xdr:col>
                    <xdr:colOff>60960</xdr:colOff>
                    <xdr:row>3</xdr:row>
                    <xdr:rowOff>228600</xdr:rowOff>
                  </from>
                  <to>
                    <xdr:col>9</xdr:col>
                    <xdr:colOff>449580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5" name="Button 16">
              <controlPr defaultSize="0" print="0" autoFill="0" autoPict="0" macro="[0]!Button10_Click">
                <anchor moveWithCells="1" sizeWithCells="1">
                  <from>
                    <xdr:col>10</xdr:col>
                    <xdr:colOff>312420</xdr:colOff>
                    <xdr:row>3</xdr:row>
                    <xdr:rowOff>228600</xdr:rowOff>
                  </from>
                  <to>
                    <xdr:col>11</xdr:col>
                    <xdr:colOff>365760</xdr:colOff>
                    <xdr:row>4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M44"/>
  <sheetViews>
    <sheetView showGridLines="0" workbookViewId="0">
      <selection activeCell="A2" sqref="A2:XFD11"/>
    </sheetView>
  </sheetViews>
  <sheetFormatPr defaultRowHeight="14.4" x14ac:dyDescent="0.3"/>
  <cols>
    <col min="2" max="2" width="14.5546875" customWidth="1"/>
    <col min="3" max="3" width="34.44140625" customWidth="1"/>
    <col min="4" max="4" width="10.6640625" customWidth="1"/>
    <col min="5" max="5" width="9.5546875" customWidth="1"/>
    <col min="6" max="6" width="13.88671875" customWidth="1"/>
    <col min="7" max="7" width="14.109375" customWidth="1"/>
    <col min="8" max="8" width="9.6640625" customWidth="1"/>
  </cols>
  <sheetData>
    <row r="1" spans="2:13" ht="10.5" customHeight="1" x14ac:dyDescent="0.25"/>
    <row r="2" spans="2:13" ht="7.5" customHeight="1" x14ac:dyDescent="0.25">
      <c r="B2" s="4"/>
      <c r="C2" s="5"/>
      <c r="D2" s="5"/>
      <c r="E2" s="5"/>
      <c r="F2" s="5"/>
      <c r="G2" s="5"/>
      <c r="H2" s="5"/>
      <c r="I2" s="5"/>
      <c r="J2" s="5"/>
      <c r="K2" s="6"/>
    </row>
    <row r="3" spans="2:13" ht="18.75" x14ac:dyDescent="0.3">
      <c r="B3" s="7"/>
      <c r="C3" s="109" t="s">
        <v>14</v>
      </c>
      <c r="D3" s="109"/>
      <c r="E3" s="109"/>
      <c r="F3" s="109"/>
      <c r="G3" s="109"/>
      <c r="H3" s="109"/>
      <c r="K3" s="9"/>
      <c r="M3" s="37" t="s">
        <v>124</v>
      </c>
    </row>
    <row r="4" spans="2:13" ht="6" customHeight="1" x14ac:dyDescent="0.25">
      <c r="B4" s="7"/>
      <c r="C4" s="8"/>
      <c r="D4" s="8"/>
      <c r="E4" s="8"/>
      <c r="F4" s="8"/>
      <c r="G4" s="8"/>
      <c r="H4" s="8"/>
      <c r="K4" s="9"/>
    </row>
    <row r="5" spans="2:13" ht="15" x14ac:dyDescent="0.25">
      <c r="B5" s="7"/>
      <c r="C5" s="11" t="s">
        <v>13</v>
      </c>
      <c r="D5" s="8"/>
      <c r="E5" s="8"/>
      <c r="F5" s="11" t="s">
        <v>47</v>
      </c>
      <c r="G5" s="8"/>
      <c r="H5" s="8"/>
      <c r="K5" s="9"/>
    </row>
    <row r="6" spans="2:13" ht="5.25" customHeight="1" x14ac:dyDescent="0.25">
      <c r="B6" s="7"/>
      <c r="C6" s="11"/>
      <c r="D6" s="8"/>
      <c r="E6" s="8"/>
      <c r="F6" s="11"/>
      <c r="G6" s="8"/>
      <c r="K6" s="9"/>
    </row>
    <row r="7" spans="2:13" ht="15" x14ac:dyDescent="0.25">
      <c r="B7" s="7"/>
      <c r="C7" s="11" t="s">
        <v>54</v>
      </c>
      <c r="D7" s="8"/>
      <c r="F7" s="11" t="s">
        <v>48</v>
      </c>
      <c r="G7" s="8"/>
      <c r="K7" s="9"/>
    </row>
    <row r="8" spans="2:13" ht="6" customHeight="1" x14ac:dyDescent="0.25">
      <c r="B8" s="7"/>
      <c r="D8" s="8"/>
      <c r="F8" s="11"/>
      <c r="G8" s="8"/>
      <c r="I8" s="8"/>
      <c r="J8" s="8"/>
      <c r="K8" s="9"/>
    </row>
    <row r="9" spans="2:13" ht="15" x14ac:dyDescent="0.25">
      <c r="B9" s="7"/>
      <c r="D9" s="8"/>
      <c r="F9" s="11" t="s">
        <v>49</v>
      </c>
      <c r="G9" s="8"/>
      <c r="I9" s="8"/>
      <c r="J9" s="8"/>
      <c r="K9" s="9"/>
    </row>
    <row r="10" spans="2:13" ht="5.25" customHeight="1" x14ac:dyDescent="0.25">
      <c r="B10" s="7"/>
      <c r="D10" s="8"/>
      <c r="F10" s="8"/>
      <c r="G10" s="8"/>
      <c r="I10" s="8"/>
      <c r="J10" s="8"/>
      <c r="K10" s="9"/>
    </row>
    <row r="11" spans="2:13" ht="8.25" customHeight="1" x14ac:dyDescent="0.25">
      <c r="B11" s="13"/>
      <c r="C11" s="14"/>
      <c r="D11" s="14"/>
      <c r="E11" s="14"/>
      <c r="F11" s="14"/>
      <c r="G11" s="14"/>
      <c r="H11" s="14"/>
      <c r="I11" s="14"/>
      <c r="J11" s="14"/>
      <c r="K11" s="15"/>
    </row>
    <row r="12" spans="2:13" ht="6.75" customHeight="1" x14ac:dyDescent="0.25"/>
    <row r="13" spans="2:13" ht="15" x14ac:dyDescent="0.25">
      <c r="B13" s="4"/>
      <c r="C13" s="5"/>
      <c r="D13" s="5"/>
      <c r="E13" s="5"/>
      <c r="F13" s="5"/>
      <c r="G13" s="5"/>
      <c r="H13" s="5"/>
      <c r="I13" s="5"/>
      <c r="J13" s="5"/>
      <c r="K13" s="6"/>
    </row>
    <row r="14" spans="2:13" ht="18.75" x14ac:dyDescent="0.3">
      <c r="B14" s="7"/>
      <c r="C14" s="109" t="s">
        <v>55</v>
      </c>
      <c r="D14" s="109"/>
      <c r="E14" s="109"/>
      <c r="F14" s="109"/>
      <c r="G14" s="109"/>
      <c r="H14" s="109"/>
      <c r="I14" s="8"/>
      <c r="J14" s="8"/>
      <c r="K14" s="9"/>
    </row>
    <row r="15" spans="2:13" ht="15" x14ac:dyDescent="0.25">
      <c r="B15" s="7"/>
      <c r="C15" s="8"/>
      <c r="D15" s="8"/>
      <c r="E15" s="8"/>
      <c r="F15" s="8"/>
      <c r="G15" s="8"/>
      <c r="H15" s="8"/>
      <c r="I15" s="8"/>
      <c r="J15" s="8"/>
      <c r="K15" s="9"/>
    </row>
    <row r="16" spans="2:13" ht="15" x14ac:dyDescent="0.25">
      <c r="B16" s="7"/>
      <c r="C16" s="10" t="s">
        <v>79</v>
      </c>
      <c r="D16" s="10" t="s">
        <v>54</v>
      </c>
      <c r="E16" s="22" t="s">
        <v>57</v>
      </c>
      <c r="F16" s="8"/>
      <c r="G16" s="10" t="s">
        <v>25</v>
      </c>
      <c r="H16" s="11" t="s">
        <v>20</v>
      </c>
      <c r="I16" s="11"/>
      <c r="J16" s="8"/>
      <c r="K16" s="9"/>
    </row>
    <row r="17" spans="2:11" ht="15" x14ac:dyDescent="0.25">
      <c r="B17" s="7"/>
      <c r="C17" s="10" t="s">
        <v>80</v>
      </c>
      <c r="D17" s="11"/>
      <c r="E17" s="8"/>
      <c r="F17" s="8"/>
      <c r="G17" s="10" t="s">
        <v>18</v>
      </c>
      <c r="H17" s="11">
        <v>2</v>
      </c>
      <c r="I17" s="11"/>
      <c r="J17" s="8"/>
      <c r="K17" s="9"/>
    </row>
    <row r="18" spans="2:11" ht="7.5" customHeight="1" x14ac:dyDescent="0.25">
      <c r="B18" s="7"/>
      <c r="C18" s="8"/>
      <c r="D18" s="8"/>
      <c r="E18" s="8"/>
      <c r="F18" s="8"/>
      <c r="G18" s="8"/>
      <c r="H18" s="8"/>
      <c r="I18" s="8"/>
      <c r="J18" s="8"/>
      <c r="K18" s="9"/>
    </row>
    <row r="19" spans="2:11" ht="15" x14ac:dyDescent="0.25">
      <c r="B19" s="7"/>
      <c r="C19" s="18" t="s">
        <v>58</v>
      </c>
      <c r="D19" s="110" t="s">
        <v>59</v>
      </c>
      <c r="E19" s="110"/>
      <c r="F19" s="110"/>
      <c r="G19" s="110" t="s">
        <v>60</v>
      </c>
      <c r="H19" s="110"/>
      <c r="I19" s="110"/>
      <c r="J19" s="8"/>
      <c r="K19" s="9"/>
    </row>
    <row r="20" spans="2:11" ht="15" x14ac:dyDescent="0.25">
      <c r="B20" s="7"/>
      <c r="C20" s="19" t="s">
        <v>63</v>
      </c>
      <c r="D20" s="105">
        <v>10</v>
      </c>
      <c r="E20" s="105"/>
      <c r="F20" s="105"/>
      <c r="G20" s="111">
        <f>(D20)/(D20+D21+D22+D23)</f>
        <v>0.22222222222222221</v>
      </c>
      <c r="H20" s="111"/>
      <c r="I20" s="111"/>
      <c r="J20" s="8"/>
      <c r="K20" s="9"/>
    </row>
    <row r="21" spans="2:11" ht="15" x14ac:dyDescent="0.25">
      <c r="B21" s="7"/>
      <c r="C21" s="19" t="s">
        <v>64</v>
      </c>
      <c r="D21" s="105">
        <v>8</v>
      </c>
      <c r="E21" s="105"/>
      <c r="F21" s="105"/>
      <c r="G21" s="111">
        <f>(D21)/(D20+D21+D22+D23)</f>
        <v>0.17777777777777778</v>
      </c>
      <c r="H21" s="111"/>
      <c r="I21" s="111"/>
      <c r="J21" s="8"/>
      <c r="K21" s="9"/>
    </row>
    <row r="22" spans="2:11" ht="15" x14ac:dyDescent="0.25">
      <c r="B22" s="7"/>
      <c r="C22" s="19" t="s">
        <v>61</v>
      </c>
      <c r="D22" s="105">
        <v>15</v>
      </c>
      <c r="E22" s="105"/>
      <c r="F22" s="105"/>
      <c r="G22" s="111">
        <f>(D22)/(D20+D21+D22+D23)</f>
        <v>0.33333333333333331</v>
      </c>
      <c r="H22" s="111"/>
      <c r="I22" s="111"/>
      <c r="J22" s="8"/>
      <c r="K22" s="9"/>
    </row>
    <row r="23" spans="2:11" ht="15" x14ac:dyDescent="0.25">
      <c r="B23" s="7"/>
      <c r="C23" s="19" t="s">
        <v>62</v>
      </c>
      <c r="D23" s="105">
        <v>12</v>
      </c>
      <c r="E23" s="105"/>
      <c r="F23" s="105"/>
      <c r="G23" s="111">
        <f>(D23)/(D20+D21+D22+D23)</f>
        <v>0.26666666666666666</v>
      </c>
      <c r="H23" s="111"/>
      <c r="I23" s="111"/>
      <c r="J23" s="8"/>
      <c r="K23" s="9"/>
    </row>
    <row r="24" spans="2:11" ht="15" x14ac:dyDescent="0.25">
      <c r="B24" s="7"/>
      <c r="C24" s="23" t="s">
        <v>45</v>
      </c>
      <c r="D24" s="126">
        <f>SUM(D20:F23)</f>
        <v>45</v>
      </c>
      <c r="E24" s="126"/>
      <c r="F24" s="126"/>
      <c r="G24" s="127">
        <f>SUM(G20:I23)</f>
        <v>1</v>
      </c>
      <c r="H24" s="127"/>
      <c r="I24" s="127"/>
      <c r="J24" s="8"/>
      <c r="K24" s="9"/>
    </row>
    <row r="25" spans="2:11" ht="15" x14ac:dyDescent="0.25">
      <c r="B25" s="7"/>
      <c r="C25" s="8"/>
      <c r="D25" s="8"/>
      <c r="E25" s="8"/>
      <c r="F25" s="8"/>
      <c r="G25" s="8"/>
      <c r="H25" s="8"/>
      <c r="I25" s="8"/>
      <c r="J25" s="124" t="s">
        <v>46</v>
      </c>
      <c r="K25" s="125"/>
    </row>
    <row r="26" spans="2:11" ht="15" x14ac:dyDescent="0.25">
      <c r="B26" s="13"/>
      <c r="C26" s="14"/>
      <c r="D26" s="14"/>
      <c r="E26" s="14"/>
      <c r="F26" s="14"/>
      <c r="G26" s="14"/>
      <c r="H26" s="14"/>
      <c r="I26" s="14"/>
      <c r="J26" s="14"/>
      <c r="K26" s="15"/>
    </row>
    <row r="27" spans="2:11" ht="10.5" customHeight="1" x14ac:dyDescent="0.25"/>
    <row r="28" spans="2:11" x14ac:dyDescent="0.3">
      <c r="B28" s="4"/>
      <c r="C28" s="5"/>
      <c r="D28" s="5"/>
      <c r="E28" s="5"/>
      <c r="F28" s="5"/>
      <c r="G28" s="5"/>
      <c r="H28" s="5"/>
      <c r="I28" s="5"/>
      <c r="J28" s="5"/>
      <c r="K28" s="6"/>
    </row>
    <row r="29" spans="2:11" x14ac:dyDescent="0.3">
      <c r="B29" s="7"/>
      <c r="C29" s="8"/>
      <c r="D29" s="8"/>
      <c r="E29" s="8"/>
      <c r="F29" s="8"/>
      <c r="G29" s="8"/>
      <c r="H29" s="8"/>
      <c r="I29" s="8"/>
      <c r="J29" s="8"/>
      <c r="K29" s="9"/>
    </row>
    <row r="30" spans="2:11" x14ac:dyDescent="0.3">
      <c r="B30" s="7"/>
      <c r="C30" s="8"/>
      <c r="D30" s="8"/>
      <c r="E30" s="8"/>
      <c r="F30" s="8"/>
      <c r="G30" s="8"/>
      <c r="H30" s="8"/>
      <c r="I30" s="8"/>
      <c r="J30" s="8"/>
      <c r="K30" s="9"/>
    </row>
    <row r="31" spans="2:11" x14ac:dyDescent="0.3">
      <c r="B31" s="7"/>
      <c r="C31" s="8"/>
      <c r="D31" s="8"/>
      <c r="E31" s="8"/>
      <c r="F31" s="8"/>
      <c r="G31" s="8"/>
      <c r="H31" s="8"/>
      <c r="I31" s="8"/>
      <c r="J31" s="8"/>
      <c r="K31" s="9"/>
    </row>
    <row r="32" spans="2:11" x14ac:dyDescent="0.3">
      <c r="B32" s="7"/>
      <c r="C32" s="8"/>
      <c r="D32" s="8"/>
      <c r="E32" s="8"/>
      <c r="F32" s="8"/>
      <c r="G32" s="8"/>
      <c r="H32" s="8"/>
      <c r="I32" s="8"/>
      <c r="J32" s="8"/>
      <c r="K32" s="9"/>
    </row>
    <row r="33" spans="2:11" x14ac:dyDescent="0.3">
      <c r="B33" s="7"/>
      <c r="C33" s="8"/>
      <c r="D33" s="8"/>
      <c r="E33" s="8"/>
      <c r="F33" s="8"/>
      <c r="G33" s="8"/>
      <c r="H33" s="8"/>
      <c r="I33" s="8"/>
      <c r="J33" s="8"/>
      <c r="K33" s="9"/>
    </row>
    <row r="34" spans="2:11" x14ac:dyDescent="0.3">
      <c r="B34" s="7"/>
      <c r="C34" s="8"/>
      <c r="D34" s="8"/>
      <c r="E34" s="8"/>
      <c r="F34" s="8"/>
      <c r="G34" s="8"/>
      <c r="H34" s="8"/>
      <c r="I34" s="8"/>
      <c r="J34" s="8"/>
      <c r="K34" s="9"/>
    </row>
    <row r="35" spans="2:11" x14ac:dyDescent="0.3">
      <c r="B35" s="7"/>
      <c r="C35" s="8"/>
      <c r="D35" s="8"/>
      <c r="E35" s="8"/>
      <c r="F35" s="8"/>
      <c r="G35" s="8"/>
      <c r="H35" s="8"/>
      <c r="I35" s="8"/>
      <c r="J35" s="8"/>
      <c r="K35" s="9"/>
    </row>
    <row r="36" spans="2:11" x14ac:dyDescent="0.3">
      <c r="B36" s="7"/>
      <c r="C36" s="8"/>
      <c r="D36" s="8"/>
      <c r="E36" s="8"/>
      <c r="F36" s="8"/>
      <c r="G36" s="8"/>
      <c r="H36" s="8"/>
      <c r="I36" s="8"/>
      <c r="J36" s="8"/>
      <c r="K36" s="9"/>
    </row>
    <row r="37" spans="2:11" x14ac:dyDescent="0.3">
      <c r="B37" s="7"/>
      <c r="C37" s="8"/>
      <c r="D37" s="8"/>
      <c r="E37" s="8"/>
      <c r="F37" s="8"/>
      <c r="G37" s="8"/>
      <c r="H37" s="8"/>
      <c r="I37" s="8"/>
      <c r="J37" s="8"/>
      <c r="K37" s="9"/>
    </row>
    <row r="38" spans="2:11" x14ac:dyDescent="0.3">
      <c r="B38" s="7"/>
      <c r="C38" s="8"/>
      <c r="D38" s="8"/>
      <c r="E38" s="8"/>
      <c r="F38" s="8"/>
      <c r="G38" s="8"/>
      <c r="H38" s="8"/>
      <c r="I38" s="8"/>
      <c r="J38" s="8"/>
      <c r="K38" s="9"/>
    </row>
    <row r="39" spans="2:11" x14ac:dyDescent="0.3">
      <c r="B39" s="7"/>
      <c r="C39" s="8"/>
      <c r="D39" s="8"/>
      <c r="E39" s="8"/>
      <c r="F39" s="8"/>
      <c r="G39" s="8"/>
      <c r="H39" s="8"/>
      <c r="I39" s="8"/>
      <c r="J39" s="8"/>
      <c r="K39" s="9"/>
    </row>
    <row r="40" spans="2:11" x14ac:dyDescent="0.3">
      <c r="B40" s="7"/>
      <c r="C40" s="8"/>
      <c r="D40" s="8"/>
      <c r="E40" s="8"/>
      <c r="F40" s="8"/>
      <c r="G40" s="8"/>
      <c r="H40" s="8"/>
      <c r="I40" s="8"/>
      <c r="J40" s="8"/>
      <c r="K40" s="9"/>
    </row>
    <row r="41" spans="2:11" x14ac:dyDescent="0.3">
      <c r="B41" s="7"/>
      <c r="C41" s="8"/>
      <c r="D41" s="8"/>
      <c r="E41" s="8"/>
      <c r="F41" s="8"/>
      <c r="G41" s="8"/>
      <c r="H41" s="8"/>
      <c r="I41" s="8"/>
      <c r="J41" s="8"/>
      <c r="K41" s="9"/>
    </row>
    <row r="42" spans="2:11" x14ac:dyDescent="0.3">
      <c r="B42" s="7"/>
      <c r="C42" s="8"/>
      <c r="D42" s="8"/>
      <c r="E42" s="8"/>
      <c r="F42" s="8"/>
      <c r="G42" s="8"/>
      <c r="H42" s="8"/>
      <c r="I42" s="8"/>
      <c r="J42" s="8"/>
      <c r="K42" s="9"/>
    </row>
    <row r="43" spans="2:11" x14ac:dyDescent="0.3">
      <c r="B43" s="7"/>
      <c r="C43" s="8"/>
      <c r="D43" s="8"/>
      <c r="E43" s="8"/>
      <c r="F43" s="8"/>
      <c r="G43" s="8"/>
      <c r="H43" s="8"/>
      <c r="I43" s="8"/>
      <c r="J43" s="8"/>
      <c r="K43" s="9"/>
    </row>
    <row r="44" spans="2:11" x14ac:dyDescent="0.3">
      <c r="B44" s="13"/>
      <c r="C44" s="14"/>
      <c r="D44" s="14"/>
      <c r="E44" s="14"/>
      <c r="F44" s="14"/>
      <c r="G44" s="14"/>
      <c r="H44" s="14"/>
      <c r="I44" s="14"/>
      <c r="J44" s="122" t="s">
        <v>56</v>
      </c>
      <c r="K44" s="123"/>
    </row>
  </sheetData>
  <mergeCells count="16">
    <mergeCell ref="D20:F20"/>
    <mergeCell ref="G20:I20"/>
    <mergeCell ref="J44:K44"/>
    <mergeCell ref="C3:H3"/>
    <mergeCell ref="C14:H14"/>
    <mergeCell ref="D19:F19"/>
    <mergeCell ref="G19:I19"/>
    <mergeCell ref="J25:K25"/>
    <mergeCell ref="D22:F22"/>
    <mergeCell ref="G22:I22"/>
    <mergeCell ref="D23:F23"/>
    <mergeCell ref="G23:I23"/>
    <mergeCell ref="D24:F24"/>
    <mergeCell ref="G24:I24"/>
    <mergeCell ref="D21:F21"/>
    <mergeCell ref="G21:I21"/>
  </mergeCells>
  <hyperlinks>
    <hyperlink ref="M3" location="Index!A1" display="Back to Index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Drop Down 1">
              <controlPr defaultSize="0" autoLine="0" autoPict="0">
                <anchor moveWithCells="1">
                  <from>
                    <xdr:col>2</xdr:col>
                    <xdr:colOff>883920</xdr:colOff>
                    <xdr:row>4</xdr:row>
                    <xdr:rowOff>0</xdr:rowOff>
                  </from>
                  <to>
                    <xdr:col>2</xdr:col>
                    <xdr:colOff>1912620</xdr:colOff>
                    <xdr:row>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Drop Down 2">
              <controlPr defaultSize="0" autoLine="0" autoPict="0">
                <anchor moveWithCells="1">
                  <from>
                    <xdr:col>5</xdr:col>
                    <xdr:colOff>708660</xdr:colOff>
                    <xdr:row>4</xdr:row>
                    <xdr:rowOff>0</xdr:rowOff>
                  </from>
                  <to>
                    <xdr:col>6</xdr:col>
                    <xdr:colOff>784860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5" name="Drop Down 4">
              <controlPr defaultSize="0" autoLine="0" autoPict="0">
                <anchor moveWithCells="1">
                  <from>
                    <xdr:col>5</xdr:col>
                    <xdr:colOff>708660</xdr:colOff>
                    <xdr:row>6</xdr:row>
                    <xdr:rowOff>7620</xdr:rowOff>
                  </from>
                  <to>
                    <xdr:col>6</xdr:col>
                    <xdr:colOff>784860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6" name="Drop Down 6">
              <controlPr defaultSize="0" autoLine="0" autoPict="0">
                <anchor moveWithCells="1">
                  <from>
                    <xdr:col>5</xdr:col>
                    <xdr:colOff>708660</xdr:colOff>
                    <xdr:row>8</xdr:row>
                    <xdr:rowOff>7620</xdr:rowOff>
                  </from>
                  <to>
                    <xdr:col>6</xdr:col>
                    <xdr:colOff>784860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7" name="Drop Down 7">
              <controlPr defaultSize="0" autoLine="0" autoPict="0">
                <anchor moveWithCells="1">
                  <from>
                    <xdr:col>2</xdr:col>
                    <xdr:colOff>883920</xdr:colOff>
                    <xdr:row>5</xdr:row>
                    <xdr:rowOff>121920</xdr:rowOff>
                  </from>
                  <to>
                    <xdr:col>2</xdr:col>
                    <xdr:colOff>1912620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8" name="Button 8">
              <controlPr defaultSize="0" print="0" autoFill="0" autoPict="0" macro="[0]!Button10_Click">
                <anchor moveWithCells="1" sizeWithCells="1">
                  <from>
                    <xdr:col>8</xdr:col>
                    <xdr:colOff>525780</xdr:colOff>
                    <xdr:row>8</xdr:row>
                    <xdr:rowOff>22860</xdr:rowOff>
                  </from>
                  <to>
                    <xdr:col>9</xdr:col>
                    <xdr:colOff>571500</xdr:colOff>
                    <xdr:row>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52"/>
  <sheetViews>
    <sheetView showGridLines="0" workbookViewId="0"/>
  </sheetViews>
  <sheetFormatPr defaultRowHeight="14.4" x14ac:dyDescent="0.3"/>
  <cols>
    <col min="2" max="2" width="13.109375" customWidth="1"/>
    <col min="3" max="3" width="13.88671875" customWidth="1"/>
    <col min="4" max="4" width="9.6640625" customWidth="1"/>
    <col min="5" max="5" width="9.109375" customWidth="1"/>
    <col min="6" max="6" width="20.109375" customWidth="1"/>
    <col min="7" max="7" width="16" customWidth="1"/>
    <col min="8" max="8" width="18.33203125" customWidth="1"/>
    <col min="9" max="9" width="14.109375" customWidth="1"/>
    <col min="10" max="10" width="9.6640625" customWidth="1"/>
  </cols>
  <sheetData>
    <row r="1" spans="2:15" ht="10.5" customHeight="1" x14ac:dyDescent="0.25"/>
    <row r="2" spans="2:15" ht="7.5" customHeight="1" x14ac:dyDescent="0.3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148" t="s">
        <v>124</v>
      </c>
      <c r="O2" s="149"/>
    </row>
    <row r="3" spans="2:15" ht="18" x14ac:dyDescent="0.35">
      <c r="B3" s="7"/>
      <c r="C3" s="109" t="s">
        <v>14</v>
      </c>
      <c r="D3" s="109"/>
      <c r="E3" s="109"/>
      <c r="F3" s="109"/>
      <c r="G3" s="109"/>
      <c r="H3" s="109"/>
      <c r="I3" s="109"/>
      <c r="J3" s="109"/>
      <c r="M3" s="9"/>
      <c r="N3" s="148"/>
      <c r="O3" s="149"/>
    </row>
    <row r="4" spans="2:15" ht="6" customHeight="1" x14ac:dyDescent="0.25">
      <c r="B4" s="7"/>
      <c r="C4" s="8"/>
      <c r="D4" s="8"/>
      <c r="E4" s="8"/>
      <c r="F4" s="8"/>
      <c r="G4" s="8"/>
      <c r="H4" s="8"/>
      <c r="I4" s="8"/>
      <c r="J4" s="8"/>
      <c r="M4" s="9"/>
    </row>
    <row r="5" spans="2:15" ht="15" x14ac:dyDescent="0.25">
      <c r="B5" s="7"/>
      <c r="C5" s="11" t="s">
        <v>17</v>
      </c>
      <c r="D5" s="8"/>
      <c r="E5" s="8"/>
      <c r="F5" s="8"/>
      <c r="G5" s="8"/>
      <c r="H5" s="11" t="s">
        <v>47</v>
      </c>
      <c r="I5" s="8"/>
      <c r="J5" s="8"/>
      <c r="M5" s="9"/>
    </row>
    <row r="6" spans="2:15" ht="5.25" customHeight="1" x14ac:dyDescent="0.25">
      <c r="B6" s="7"/>
      <c r="C6" s="11"/>
      <c r="D6" s="8"/>
      <c r="E6" s="8"/>
      <c r="F6" s="8"/>
      <c r="G6" s="8"/>
      <c r="H6" s="11"/>
      <c r="I6" s="8"/>
      <c r="M6" s="9"/>
    </row>
    <row r="7" spans="2:15" ht="15" x14ac:dyDescent="0.25">
      <c r="B7" s="7"/>
      <c r="C7" s="11" t="s">
        <v>54</v>
      </c>
      <c r="D7" s="8"/>
      <c r="F7" s="8"/>
      <c r="H7" s="11" t="s">
        <v>48</v>
      </c>
      <c r="I7" s="8"/>
      <c r="M7" s="9"/>
    </row>
    <row r="8" spans="2:15" ht="6" customHeight="1" x14ac:dyDescent="0.25">
      <c r="B8" s="7"/>
      <c r="E8" s="8"/>
      <c r="F8" s="8"/>
      <c r="H8" s="11"/>
      <c r="I8" s="8"/>
      <c r="K8" s="8"/>
      <c r="L8" s="8"/>
      <c r="M8" s="9"/>
    </row>
    <row r="9" spans="2:15" ht="15" x14ac:dyDescent="0.25">
      <c r="B9" s="7"/>
      <c r="C9" s="3" t="s">
        <v>65</v>
      </c>
      <c r="E9" s="8"/>
      <c r="F9" s="8"/>
      <c r="H9" s="11" t="s">
        <v>49</v>
      </c>
      <c r="I9" s="8"/>
      <c r="K9" s="8"/>
      <c r="L9" s="8"/>
      <c r="M9" s="9"/>
    </row>
    <row r="10" spans="2:15" ht="5.25" customHeight="1" x14ac:dyDescent="0.25">
      <c r="B10" s="7"/>
      <c r="E10" s="8"/>
      <c r="F10" s="8"/>
      <c r="H10" s="8"/>
      <c r="I10" s="8"/>
      <c r="K10" s="8"/>
      <c r="L10" s="8"/>
      <c r="M10" s="9"/>
    </row>
    <row r="11" spans="2:15" ht="8.25" customHeight="1" x14ac:dyDescent="0.25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</row>
    <row r="12" spans="2:15" ht="6.75" customHeight="1" x14ac:dyDescent="0.25"/>
    <row r="13" spans="2:15" ht="15" x14ac:dyDescent="0.2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</row>
    <row r="14" spans="2:15" ht="18.75" x14ac:dyDescent="0.3">
      <c r="B14" s="7"/>
      <c r="C14" s="109" t="s">
        <v>208</v>
      </c>
      <c r="D14" s="109"/>
      <c r="E14" s="109"/>
      <c r="F14" s="109"/>
      <c r="G14" s="109"/>
      <c r="H14" s="109"/>
      <c r="I14" s="109"/>
      <c r="J14" s="109"/>
      <c r="K14" s="8"/>
      <c r="L14" s="8"/>
      <c r="M14" s="9"/>
    </row>
    <row r="15" spans="2:15" ht="15" x14ac:dyDescent="0.25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</row>
    <row r="16" spans="2:15" ht="15" x14ac:dyDescent="0.25">
      <c r="B16" s="7"/>
      <c r="C16" s="10" t="s">
        <v>17</v>
      </c>
      <c r="D16" s="11" t="s">
        <v>51</v>
      </c>
      <c r="E16" s="11"/>
      <c r="F16" s="10" t="s">
        <v>54</v>
      </c>
      <c r="G16" s="22" t="s">
        <v>57</v>
      </c>
      <c r="H16" s="8"/>
      <c r="I16" s="10" t="s">
        <v>25</v>
      </c>
      <c r="J16" s="11" t="s">
        <v>20</v>
      </c>
      <c r="K16" s="11"/>
      <c r="L16" s="8"/>
      <c r="M16" s="9"/>
    </row>
    <row r="17" spans="2:13" ht="15" x14ac:dyDescent="0.25">
      <c r="B17" s="7"/>
      <c r="C17" s="10" t="s">
        <v>78</v>
      </c>
      <c r="D17" s="12">
        <v>42370</v>
      </c>
      <c r="E17" s="11"/>
      <c r="F17" s="10" t="s">
        <v>65</v>
      </c>
      <c r="G17" s="8" t="s">
        <v>57</v>
      </c>
      <c r="H17" s="8"/>
      <c r="I17" s="10" t="s">
        <v>18</v>
      </c>
      <c r="J17" s="11">
        <v>2</v>
      </c>
      <c r="K17" s="11"/>
      <c r="L17" s="8"/>
      <c r="M17" s="9"/>
    </row>
    <row r="18" spans="2:13" ht="7.5" customHeight="1" x14ac:dyDescent="0.25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spans="2:13" ht="15" x14ac:dyDescent="0.25">
      <c r="B19" s="7"/>
      <c r="C19" s="110" t="s">
        <v>58</v>
      </c>
      <c r="D19" s="110"/>
      <c r="E19" s="110" t="s">
        <v>209</v>
      </c>
      <c r="F19" s="110"/>
      <c r="G19" s="112" t="s">
        <v>59</v>
      </c>
      <c r="H19" s="113"/>
      <c r="I19" s="110" t="s">
        <v>66</v>
      </c>
      <c r="J19" s="110"/>
      <c r="K19" s="110" t="s">
        <v>67</v>
      </c>
      <c r="L19" s="110"/>
      <c r="M19" s="9"/>
    </row>
    <row r="20" spans="2:13" x14ac:dyDescent="0.3">
      <c r="B20" s="7"/>
      <c r="C20" s="142" t="s">
        <v>63</v>
      </c>
      <c r="D20" s="143"/>
      <c r="E20" s="141" t="s">
        <v>211</v>
      </c>
      <c r="F20" s="141"/>
      <c r="G20" s="114">
        <v>5</v>
      </c>
      <c r="H20" s="115"/>
      <c r="I20" s="111">
        <f>G20/G30</f>
        <v>3.6764705882352942E-2</v>
      </c>
      <c r="J20" s="111"/>
      <c r="K20" s="135">
        <f>SUM(I20:J22)</f>
        <v>0.15441176470588236</v>
      </c>
      <c r="L20" s="136"/>
      <c r="M20" s="9"/>
    </row>
    <row r="21" spans="2:13" x14ac:dyDescent="0.3">
      <c r="B21" s="7"/>
      <c r="C21" s="144"/>
      <c r="D21" s="145"/>
      <c r="E21" s="141" t="s">
        <v>212</v>
      </c>
      <c r="F21" s="141"/>
      <c r="G21" s="114">
        <v>6</v>
      </c>
      <c r="H21" s="115"/>
      <c r="I21" s="111">
        <f>G21/G30</f>
        <v>4.4117647058823532E-2</v>
      </c>
      <c r="J21" s="111"/>
      <c r="K21" s="137"/>
      <c r="L21" s="138"/>
      <c r="M21" s="9"/>
    </row>
    <row r="22" spans="2:13" x14ac:dyDescent="0.3">
      <c r="B22" s="7"/>
      <c r="C22" s="146"/>
      <c r="D22" s="147"/>
      <c r="E22" s="141" t="s">
        <v>213</v>
      </c>
      <c r="F22" s="141"/>
      <c r="G22" s="114">
        <v>10</v>
      </c>
      <c r="H22" s="115"/>
      <c r="I22" s="111">
        <f>G22/G30</f>
        <v>7.3529411764705885E-2</v>
      </c>
      <c r="J22" s="111"/>
      <c r="K22" s="139"/>
      <c r="L22" s="140"/>
      <c r="M22" s="9"/>
    </row>
    <row r="23" spans="2:13" x14ac:dyDescent="0.3">
      <c r="B23" s="7"/>
      <c r="C23" s="142" t="s">
        <v>64</v>
      </c>
      <c r="D23" s="143"/>
      <c r="E23" s="141" t="s">
        <v>211</v>
      </c>
      <c r="F23" s="141"/>
      <c r="G23" s="114">
        <v>24</v>
      </c>
      <c r="H23" s="115"/>
      <c r="I23" s="111">
        <f>G23/G30</f>
        <v>0.17647058823529413</v>
      </c>
      <c r="J23" s="111"/>
      <c r="K23" s="135">
        <f>SUM(I23:J26)</f>
        <v>0.49264705882352944</v>
      </c>
      <c r="L23" s="136"/>
      <c r="M23" s="9"/>
    </row>
    <row r="24" spans="2:13" x14ac:dyDescent="0.3">
      <c r="B24" s="7"/>
      <c r="C24" s="144"/>
      <c r="D24" s="145"/>
      <c r="E24" s="141" t="s">
        <v>212</v>
      </c>
      <c r="F24" s="141"/>
      <c r="G24" s="114">
        <v>12</v>
      </c>
      <c r="H24" s="115"/>
      <c r="I24" s="111">
        <f>G24/G30</f>
        <v>8.8235294117647065E-2</v>
      </c>
      <c r="J24" s="111"/>
      <c r="K24" s="137"/>
      <c r="L24" s="138"/>
      <c r="M24" s="9"/>
    </row>
    <row r="25" spans="2:13" x14ac:dyDescent="0.3">
      <c r="B25" s="7"/>
      <c r="C25" s="144"/>
      <c r="D25" s="145"/>
      <c r="E25" s="141" t="s">
        <v>213</v>
      </c>
      <c r="F25" s="141"/>
      <c r="G25" s="114">
        <v>23</v>
      </c>
      <c r="H25" s="115"/>
      <c r="I25" s="111">
        <f>G25/G30</f>
        <v>0.16911764705882354</v>
      </c>
      <c r="J25" s="111"/>
      <c r="K25" s="137"/>
      <c r="L25" s="138"/>
      <c r="M25" s="9"/>
    </row>
    <row r="26" spans="2:13" x14ac:dyDescent="0.3">
      <c r="B26" s="7"/>
      <c r="C26" s="146"/>
      <c r="D26" s="147"/>
      <c r="E26" s="141" t="s">
        <v>214</v>
      </c>
      <c r="F26" s="141"/>
      <c r="G26" s="114">
        <v>8</v>
      </c>
      <c r="H26" s="115"/>
      <c r="I26" s="111">
        <f>G26/G30</f>
        <v>5.8823529411764705E-2</v>
      </c>
      <c r="J26" s="111"/>
      <c r="K26" s="139"/>
      <c r="L26" s="140"/>
      <c r="M26" s="9"/>
    </row>
    <row r="27" spans="2:13" x14ac:dyDescent="0.3">
      <c r="B27" s="7"/>
      <c r="C27" s="142" t="s">
        <v>62</v>
      </c>
      <c r="D27" s="143"/>
      <c r="E27" s="141" t="s">
        <v>211</v>
      </c>
      <c r="F27" s="141"/>
      <c r="G27" s="114">
        <v>9</v>
      </c>
      <c r="H27" s="115"/>
      <c r="I27" s="111">
        <f>G27/G30</f>
        <v>6.6176470588235295E-2</v>
      </c>
      <c r="J27" s="111"/>
      <c r="K27" s="135">
        <f>SUM(I27:J29)</f>
        <v>0.35294117647058826</v>
      </c>
      <c r="L27" s="136"/>
      <c r="M27" s="9"/>
    </row>
    <row r="28" spans="2:13" x14ac:dyDescent="0.3">
      <c r="B28" s="7"/>
      <c r="C28" s="144"/>
      <c r="D28" s="145"/>
      <c r="E28" s="141" t="s">
        <v>213</v>
      </c>
      <c r="F28" s="141"/>
      <c r="G28" s="114">
        <v>14</v>
      </c>
      <c r="H28" s="115"/>
      <c r="I28" s="111">
        <f>G28/G30</f>
        <v>0.10294117647058823</v>
      </c>
      <c r="J28" s="111"/>
      <c r="K28" s="137"/>
      <c r="L28" s="138"/>
      <c r="M28" s="9"/>
    </row>
    <row r="29" spans="2:13" x14ac:dyDescent="0.3">
      <c r="B29" s="7"/>
      <c r="C29" s="146"/>
      <c r="D29" s="147"/>
      <c r="E29" s="141" t="s">
        <v>212</v>
      </c>
      <c r="F29" s="141"/>
      <c r="G29" s="114">
        <v>25</v>
      </c>
      <c r="H29" s="115"/>
      <c r="I29" s="111">
        <f>G29/G30</f>
        <v>0.18382352941176472</v>
      </c>
      <c r="J29" s="111"/>
      <c r="K29" s="139"/>
      <c r="L29" s="140"/>
      <c r="M29" s="9"/>
    </row>
    <row r="30" spans="2:13" x14ac:dyDescent="0.3">
      <c r="B30" s="7"/>
      <c r="C30" s="120" t="s">
        <v>45</v>
      </c>
      <c r="D30" s="128"/>
      <c r="E30" s="128"/>
      <c r="F30" s="121"/>
      <c r="G30" s="120">
        <f>SUM(G20:H29)</f>
        <v>136</v>
      </c>
      <c r="H30" s="121"/>
      <c r="I30" s="129">
        <f>SUM(I20:J29)</f>
        <v>1</v>
      </c>
      <c r="J30" s="130"/>
      <c r="K30" s="127">
        <f>SUM(K20:L29)</f>
        <v>1</v>
      </c>
      <c r="L30" s="127"/>
      <c r="M30" s="9"/>
    </row>
    <row r="31" spans="2:13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131" t="s">
        <v>46</v>
      </c>
      <c r="M31" s="132"/>
    </row>
    <row r="32" spans="2:13" x14ac:dyDescent="0.3"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33"/>
      <c r="M32" s="134"/>
    </row>
    <row r="34" spans="2:13" x14ac:dyDescent="0.3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</row>
    <row r="35" spans="2:13" x14ac:dyDescent="0.3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  <row r="36" spans="2:13" x14ac:dyDescent="0.3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7" spans="2:13" x14ac:dyDescent="0.3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9"/>
    </row>
    <row r="38" spans="2:13" x14ac:dyDescent="0.3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</row>
    <row r="39" spans="2:13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9"/>
    </row>
    <row r="40" spans="2:13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9"/>
    </row>
    <row r="41" spans="2:13" x14ac:dyDescent="0.3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9"/>
    </row>
    <row r="42" spans="2:13" x14ac:dyDescent="0.3"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</row>
    <row r="43" spans="2:13" x14ac:dyDescent="0.3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9"/>
    </row>
    <row r="44" spans="2:13" x14ac:dyDescent="0.3"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9"/>
    </row>
    <row r="45" spans="2:13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9"/>
    </row>
    <row r="46" spans="2:13" x14ac:dyDescent="0.3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9"/>
    </row>
    <row r="47" spans="2:13" x14ac:dyDescent="0.3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9"/>
    </row>
    <row r="48" spans="2:13" x14ac:dyDescent="0.3"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9"/>
    </row>
    <row r="49" spans="2:13" x14ac:dyDescent="0.3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9"/>
    </row>
    <row r="50" spans="2:13" x14ac:dyDescent="0.3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9"/>
    </row>
    <row r="51" spans="2:13" x14ac:dyDescent="0.3">
      <c r="B51" s="7"/>
      <c r="C51" s="8"/>
      <c r="D51" s="8"/>
      <c r="E51" s="8"/>
      <c r="F51" s="8"/>
      <c r="G51" s="8"/>
      <c r="H51" s="8"/>
      <c r="I51" s="8"/>
      <c r="J51" s="8"/>
      <c r="K51" s="8"/>
      <c r="L51" s="131" t="s">
        <v>56</v>
      </c>
      <c r="M51" s="132"/>
    </row>
    <row r="52" spans="2:13" x14ac:dyDescent="0.3"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33"/>
      <c r="M52" s="134"/>
    </row>
  </sheetData>
  <mergeCells count="50">
    <mergeCell ref="N2:O3"/>
    <mergeCell ref="C3:J3"/>
    <mergeCell ref="C14:J14"/>
    <mergeCell ref="C19:D19"/>
    <mergeCell ref="E19:F19"/>
    <mergeCell ref="G19:H19"/>
    <mergeCell ref="I19:J19"/>
    <mergeCell ref="K19:L19"/>
    <mergeCell ref="K20:L22"/>
    <mergeCell ref="E21:F21"/>
    <mergeCell ref="G21:H21"/>
    <mergeCell ref="I21:J21"/>
    <mergeCell ref="E22:F22"/>
    <mergeCell ref="G22:H22"/>
    <mergeCell ref="K23:L26"/>
    <mergeCell ref="E24:F24"/>
    <mergeCell ref="G24:H24"/>
    <mergeCell ref="I24:J24"/>
    <mergeCell ref="E25:F25"/>
    <mergeCell ref="C27:D29"/>
    <mergeCell ref="E27:F27"/>
    <mergeCell ref="G27:H27"/>
    <mergeCell ref="I27:J27"/>
    <mergeCell ref="I22:J22"/>
    <mergeCell ref="C23:D26"/>
    <mergeCell ref="E23:F23"/>
    <mergeCell ref="G23:H23"/>
    <mergeCell ref="I23:J23"/>
    <mergeCell ref="C20:D22"/>
    <mergeCell ref="E20:F20"/>
    <mergeCell ref="G20:H20"/>
    <mergeCell ref="I20:J20"/>
    <mergeCell ref="G25:H25"/>
    <mergeCell ref="I25:J25"/>
    <mergeCell ref="E26:F26"/>
    <mergeCell ref="G26:H26"/>
    <mergeCell ref="I26:J26"/>
    <mergeCell ref="L51:M52"/>
    <mergeCell ref="K27:L29"/>
    <mergeCell ref="E28:F28"/>
    <mergeCell ref="G28:H28"/>
    <mergeCell ref="I28:J28"/>
    <mergeCell ref="E29:F29"/>
    <mergeCell ref="G29:H29"/>
    <mergeCell ref="I29:J29"/>
    <mergeCell ref="C30:F30"/>
    <mergeCell ref="G30:H30"/>
    <mergeCell ref="I30:J30"/>
    <mergeCell ref="K30:L30"/>
    <mergeCell ref="L31:M32"/>
  </mergeCells>
  <hyperlinks>
    <hyperlink ref="N2" location="Index!A1" display="Back to Index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Drop Down 1">
              <controlPr defaultSize="0" autoLine="0" autoPict="0">
                <anchor moveWithCells="1">
                  <from>
                    <xdr:col>3</xdr:col>
                    <xdr:colOff>45720</xdr:colOff>
                    <xdr:row>4</xdr:row>
                    <xdr:rowOff>0</xdr:rowOff>
                  </from>
                  <to>
                    <xdr:col>4</xdr:col>
                    <xdr:colOff>426720</xdr:colOff>
                    <xdr:row>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4" name="Drop Down 2">
              <controlPr defaultSize="0" autoLine="0" autoPict="0">
                <anchor moveWithCells="1">
                  <from>
                    <xdr:col>7</xdr:col>
                    <xdr:colOff>708660</xdr:colOff>
                    <xdr:row>4</xdr:row>
                    <xdr:rowOff>0</xdr:rowOff>
                  </from>
                  <to>
                    <xdr:col>8</xdr:col>
                    <xdr:colOff>487680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5" name="Drop Down 3">
              <controlPr defaultSize="0" autoLine="0" autoPict="0">
                <anchor moveWithCells="1">
                  <from>
                    <xdr:col>7</xdr:col>
                    <xdr:colOff>708660</xdr:colOff>
                    <xdr:row>6</xdr:row>
                    <xdr:rowOff>7620</xdr:rowOff>
                  </from>
                  <to>
                    <xdr:col>8</xdr:col>
                    <xdr:colOff>487680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6" name="Drop Down 4">
              <controlPr defaultSize="0" autoLine="0" autoPict="0">
                <anchor moveWithCells="1">
                  <from>
                    <xdr:col>7</xdr:col>
                    <xdr:colOff>708660</xdr:colOff>
                    <xdr:row>8</xdr:row>
                    <xdr:rowOff>7620</xdr:rowOff>
                  </from>
                  <to>
                    <xdr:col>8</xdr:col>
                    <xdr:colOff>487680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7" name="Drop Down 5">
              <controlPr defaultSize="0" autoLine="0" autoPict="0">
                <anchor moveWithCells="1">
                  <from>
                    <xdr:col>3</xdr:col>
                    <xdr:colOff>45720</xdr:colOff>
                    <xdr:row>6</xdr:row>
                    <xdr:rowOff>0</xdr:rowOff>
                  </from>
                  <to>
                    <xdr:col>4</xdr:col>
                    <xdr:colOff>426720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8" name="Button 6">
              <controlPr defaultSize="0" print="0" autoFill="0" autoPict="0" macro="[0]!Button10_Click">
                <anchor moveWithCells="1" sizeWithCells="1">
                  <from>
                    <xdr:col>10</xdr:col>
                    <xdr:colOff>525780</xdr:colOff>
                    <xdr:row>8</xdr:row>
                    <xdr:rowOff>22860</xdr:rowOff>
                  </from>
                  <to>
                    <xdr:col>11</xdr:col>
                    <xdr:colOff>571500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9" name="Drop Down 7">
              <controlPr defaultSize="0" autoLine="0" autoPict="0">
                <anchor moveWithCells="1">
                  <from>
                    <xdr:col>3</xdr:col>
                    <xdr:colOff>45720</xdr:colOff>
                    <xdr:row>8</xdr:row>
                    <xdr:rowOff>0</xdr:rowOff>
                  </from>
                  <to>
                    <xdr:col>4</xdr:col>
                    <xdr:colOff>426720</xdr:colOff>
                    <xdr:row>8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B1:O52"/>
  <sheetViews>
    <sheetView showGridLines="0" workbookViewId="0">
      <selection activeCell="N2" sqref="N2:O3"/>
    </sheetView>
  </sheetViews>
  <sheetFormatPr defaultRowHeight="14.4" x14ac:dyDescent="0.3"/>
  <cols>
    <col min="2" max="2" width="13.109375" customWidth="1"/>
    <col min="3" max="3" width="13.88671875" customWidth="1"/>
    <col min="4" max="4" width="9.6640625" customWidth="1"/>
    <col min="5" max="5" width="9.109375" customWidth="1"/>
    <col min="6" max="6" width="20.109375" customWidth="1"/>
    <col min="7" max="7" width="16" customWidth="1"/>
    <col min="8" max="8" width="18.33203125" customWidth="1"/>
    <col min="9" max="9" width="14.109375" customWidth="1"/>
    <col min="10" max="10" width="9.6640625" customWidth="1"/>
  </cols>
  <sheetData>
    <row r="1" spans="2:15" ht="10.5" customHeight="1" x14ac:dyDescent="0.25"/>
    <row r="2" spans="2:15" ht="7.5" customHeight="1" x14ac:dyDescent="0.3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148" t="s">
        <v>124</v>
      </c>
      <c r="O2" s="149"/>
    </row>
    <row r="3" spans="2:15" ht="18" x14ac:dyDescent="0.35">
      <c r="B3" s="7"/>
      <c r="C3" s="109" t="s">
        <v>14</v>
      </c>
      <c r="D3" s="109"/>
      <c r="E3" s="109"/>
      <c r="F3" s="109"/>
      <c r="G3" s="109"/>
      <c r="H3" s="109"/>
      <c r="I3" s="109"/>
      <c r="J3" s="109"/>
      <c r="M3" s="9"/>
      <c r="N3" s="148"/>
      <c r="O3" s="149"/>
    </row>
    <row r="4" spans="2:15" ht="6" customHeight="1" x14ac:dyDescent="0.25">
      <c r="B4" s="7"/>
      <c r="C4" s="8"/>
      <c r="D4" s="8"/>
      <c r="E4" s="8"/>
      <c r="F4" s="8"/>
      <c r="G4" s="8"/>
      <c r="H4" s="8"/>
      <c r="I4" s="8"/>
      <c r="J4" s="8"/>
      <c r="M4" s="9"/>
    </row>
    <row r="5" spans="2:15" ht="15" x14ac:dyDescent="0.25">
      <c r="B5" s="7"/>
      <c r="C5" s="11" t="s">
        <v>17</v>
      </c>
      <c r="D5" s="8"/>
      <c r="E5" s="8"/>
      <c r="F5" s="8"/>
      <c r="G5" s="8"/>
      <c r="H5" s="11" t="s">
        <v>47</v>
      </c>
      <c r="I5" s="8"/>
      <c r="J5" s="8"/>
      <c r="M5" s="9"/>
    </row>
    <row r="6" spans="2:15" ht="5.25" customHeight="1" x14ac:dyDescent="0.25">
      <c r="B6" s="7"/>
      <c r="C6" s="11"/>
      <c r="D6" s="8"/>
      <c r="E6" s="8"/>
      <c r="F6" s="8"/>
      <c r="G6" s="8"/>
      <c r="H6" s="11"/>
      <c r="I6" s="8"/>
      <c r="M6" s="9"/>
    </row>
    <row r="7" spans="2:15" ht="15" x14ac:dyDescent="0.25">
      <c r="B7" s="7"/>
      <c r="C7" s="11" t="s">
        <v>54</v>
      </c>
      <c r="D7" s="8"/>
      <c r="F7" s="8"/>
      <c r="H7" s="11" t="s">
        <v>48</v>
      </c>
      <c r="I7" s="8"/>
      <c r="M7" s="9"/>
    </row>
    <row r="8" spans="2:15" ht="6" customHeight="1" x14ac:dyDescent="0.25">
      <c r="B8" s="7"/>
      <c r="E8" s="8"/>
      <c r="F8" s="8"/>
      <c r="H8" s="11"/>
      <c r="I8" s="8"/>
      <c r="K8" s="8"/>
      <c r="L8" s="8"/>
      <c r="M8" s="9"/>
    </row>
    <row r="9" spans="2:15" ht="15" x14ac:dyDescent="0.25">
      <c r="B9" s="7"/>
      <c r="C9" s="3" t="s">
        <v>65</v>
      </c>
      <c r="E9" s="8"/>
      <c r="F9" s="8"/>
      <c r="H9" s="11" t="s">
        <v>49</v>
      </c>
      <c r="I9" s="8"/>
      <c r="K9" s="8"/>
      <c r="L9" s="8"/>
      <c r="M9" s="9"/>
    </row>
    <row r="10" spans="2:15" ht="5.25" customHeight="1" x14ac:dyDescent="0.25">
      <c r="B10" s="7"/>
      <c r="E10" s="8"/>
      <c r="F10" s="8"/>
      <c r="H10" s="8"/>
      <c r="I10" s="8"/>
      <c r="K10" s="8"/>
      <c r="L10" s="8"/>
      <c r="M10" s="9"/>
    </row>
    <row r="11" spans="2:15" ht="8.25" customHeight="1" x14ac:dyDescent="0.25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</row>
    <row r="12" spans="2:15" ht="6.75" customHeight="1" x14ac:dyDescent="0.25"/>
    <row r="13" spans="2:15" ht="15" x14ac:dyDescent="0.2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</row>
    <row r="14" spans="2:15" ht="18.75" x14ac:dyDescent="0.3">
      <c r="B14" s="7"/>
      <c r="C14" s="109" t="s">
        <v>81</v>
      </c>
      <c r="D14" s="109"/>
      <c r="E14" s="109"/>
      <c r="F14" s="109"/>
      <c r="G14" s="109"/>
      <c r="H14" s="109"/>
      <c r="I14" s="109"/>
      <c r="J14" s="109"/>
      <c r="K14" s="8"/>
      <c r="L14" s="8"/>
      <c r="M14" s="9"/>
    </row>
    <row r="15" spans="2:15" ht="15" x14ac:dyDescent="0.25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</row>
    <row r="16" spans="2:15" ht="15" x14ac:dyDescent="0.25">
      <c r="B16" s="7"/>
      <c r="C16" s="10" t="s">
        <v>17</v>
      </c>
      <c r="D16" s="11" t="s">
        <v>51</v>
      </c>
      <c r="E16" s="11"/>
      <c r="F16" s="10" t="s">
        <v>54</v>
      </c>
      <c r="G16" s="22" t="s">
        <v>57</v>
      </c>
      <c r="H16" s="8"/>
      <c r="I16" s="10" t="s">
        <v>25</v>
      </c>
      <c r="J16" s="11" t="s">
        <v>20</v>
      </c>
      <c r="K16" s="11"/>
      <c r="L16" s="8"/>
      <c r="M16" s="9"/>
    </row>
    <row r="17" spans="2:13" ht="15" x14ac:dyDescent="0.25">
      <c r="B17" s="7"/>
      <c r="C17" s="10" t="s">
        <v>78</v>
      </c>
      <c r="D17" s="12">
        <v>42370</v>
      </c>
      <c r="E17" s="11"/>
      <c r="F17" s="10" t="s">
        <v>65</v>
      </c>
      <c r="G17" s="8" t="s">
        <v>57</v>
      </c>
      <c r="H17" s="8"/>
      <c r="I17" s="10" t="s">
        <v>18</v>
      </c>
      <c r="J17" s="11">
        <v>2</v>
      </c>
      <c r="K17" s="11"/>
      <c r="L17" s="8"/>
      <c r="M17" s="9"/>
    </row>
    <row r="18" spans="2:13" ht="7.5" customHeight="1" x14ac:dyDescent="0.25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spans="2:13" ht="15" x14ac:dyDescent="0.25">
      <c r="B19" s="7"/>
      <c r="C19" s="110" t="s">
        <v>58</v>
      </c>
      <c r="D19" s="110"/>
      <c r="E19" s="110" t="s">
        <v>65</v>
      </c>
      <c r="F19" s="110"/>
      <c r="G19" s="112" t="s">
        <v>59</v>
      </c>
      <c r="H19" s="113"/>
      <c r="I19" s="110" t="s">
        <v>66</v>
      </c>
      <c r="J19" s="110"/>
      <c r="K19" s="110" t="s">
        <v>67</v>
      </c>
      <c r="L19" s="110"/>
      <c r="M19" s="9"/>
    </row>
    <row r="20" spans="2:13" x14ac:dyDescent="0.3">
      <c r="B20" s="7"/>
      <c r="C20" s="142" t="s">
        <v>63</v>
      </c>
      <c r="D20" s="143"/>
      <c r="E20" s="141" t="s">
        <v>68</v>
      </c>
      <c r="F20" s="141"/>
      <c r="G20" s="114">
        <v>5</v>
      </c>
      <c r="H20" s="115"/>
      <c r="I20" s="111">
        <f>G20/G30</f>
        <v>3.6764705882352942E-2</v>
      </c>
      <c r="J20" s="111"/>
      <c r="K20" s="135">
        <f>SUM(I20:J22)</f>
        <v>0.15441176470588236</v>
      </c>
      <c r="L20" s="136"/>
      <c r="M20" s="9"/>
    </row>
    <row r="21" spans="2:13" x14ac:dyDescent="0.3">
      <c r="B21" s="7"/>
      <c r="C21" s="144"/>
      <c r="D21" s="145"/>
      <c r="E21" s="141" t="s">
        <v>69</v>
      </c>
      <c r="F21" s="141"/>
      <c r="G21" s="114">
        <v>6</v>
      </c>
      <c r="H21" s="115"/>
      <c r="I21" s="111">
        <f>G21/G30</f>
        <v>4.4117647058823532E-2</v>
      </c>
      <c r="J21" s="111"/>
      <c r="K21" s="137"/>
      <c r="L21" s="138"/>
      <c r="M21" s="9"/>
    </row>
    <row r="22" spans="2:13" x14ac:dyDescent="0.3">
      <c r="B22" s="7"/>
      <c r="C22" s="146"/>
      <c r="D22" s="147"/>
      <c r="E22" s="141" t="s">
        <v>70</v>
      </c>
      <c r="F22" s="141"/>
      <c r="G22" s="114">
        <v>10</v>
      </c>
      <c r="H22" s="115"/>
      <c r="I22" s="111">
        <f>G22/G30</f>
        <v>7.3529411764705885E-2</v>
      </c>
      <c r="J22" s="111"/>
      <c r="K22" s="139"/>
      <c r="L22" s="140"/>
      <c r="M22" s="9"/>
    </row>
    <row r="23" spans="2:13" x14ac:dyDescent="0.3">
      <c r="B23" s="7"/>
      <c r="C23" s="142" t="s">
        <v>64</v>
      </c>
      <c r="D23" s="143"/>
      <c r="E23" s="141" t="s">
        <v>71</v>
      </c>
      <c r="F23" s="141"/>
      <c r="G23" s="114">
        <v>24</v>
      </c>
      <c r="H23" s="115"/>
      <c r="I23" s="111">
        <f>G23/G30</f>
        <v>0.17647058823529413</v>
      </c>
      <c r="J23" s="111"/>
      <c r="K23" s="135">
        <f>SUM(I23:J26)</f>
        <v>0.49264705882352944</v>
      </c>
      <c r="L23" s="136"/>
      <c r="M23" s="9"/>
    </row>
    <row r="24" spans="2:13" x14ac:dyDescent="0.3">
      <c r="B24" s="7"/>
      <c r="C24" s="144"/>
      <c r="D24" s="145"/>
      <c r="E24" s="141" t="s">
        <v>72</v>
      </c>
      <c r="F24" s="141"/>
      <c r="G24" s="114">
        <v>12</v>
      </c>
      <c r="H24" s="115"/>
      <c r="I24" s="111">
        <f>G24/G30</f>
        <v>8.8235294117647065E-2</v>
      </c>
      <c r="J24" s="111"/>
      <c r="K24" s="137"/>
      <c r="L24" s="138"/>
      <c r="M24" s="9"/>
    </row>
    <row r="25" spans="2:13" x14ac:dyDescent="0.3">
      <c r="B25" s="7"/>
      <c r="C25" s="144"/>
      <c r="D25" s="145"/>
      <c r="E25" s="141" t="s">
        <v>76</v>
      </c>
      <c r="F25" s="141"/>
      <c r="G25" s="114">
        <v>23</v>
      </c>
      <c r="H25" s="115"/>
      <c r="I25" s="111">
        <f>G25/G30</f>
        <v>0.16911764705882354</v>
      </c>
      <c r="J25" s="111"/>
      <c r="K25" s="137"/>
      <c r="L25" s="138"/>
      <c r="M25" s="9"/>
    </row>
    <row r="26" spans="2:13" x14ac:dyDescent="0.3">
      <c r="B26" s="7"/>
      <c r="C26" s="146"/>
      <c r="D26" s="147"/>
      <c r="E26" s="141" t="s">
        <v>77</v>
      </c>
      <c r="F26" s="141"/>
      <c r="G26" s="114">
        <v>8</v>
      </c>
      <c r="H26" s="115"/>
      <c r="I26" s="111">
        <f>G26/G30</f>
        <v>5.8823529411764705E-2</v>
      </c>
      <c r="J26" s="111"/>
      <c r="K26" s="139"/>
      <c r="L26" s="140"/>
      <c r="M26" s="9"/>
    </row>
    <row r="27" spans="2:13" x14ac:dyDescent="0.3">
      <c r="B27" s="7"/>
      <c r="C27" s="142" t="s">
        <v>62</v>
      </c>
      <c r="D27" s="143"/>
      <c r="E27" s="141" t="s">
        <v>73</v>
      </c>
      <c r="F27" s="141"/>
      <c r="G27" s="114">
        <v>9</v>
      </c>
      <c r="H27" s="115"/>
      <c r="I27" s="111">
        <f>G27/G30</f>
        <v>6.6176470588235295E-2</v>
      </c>
      <c r="J27" s="111"/>
      <c r="K27" s="135">
        <f>SUM(I27:J29)</f>
        <v>0.35294117647058826</v>
      </c>
      <c r="L27" s="136"/>
      <c r="M27" s="9"/>
    </row>
    <row r="28" spans="2:13" x14ac:dyDescent="0.3">
      <c r="B28" s="7"/>
      <c r="C28" s="144"/>
      <c r="D28" s="145"/>
      <c r="E28" s="141" t="s">
        <v>75</v>
      </c>
      <c r="F28" s="141"/>
      <c r="G28" s="114">
        <v>14</v>
      </c>
      <c r="H28" s="115"/>
      <c r="I28" s="111">
        <f>G28/G30</f>
        <v>0.10294117647058823</v>
      </c>
      <c r="J28" s="111"/>
      <c r="K28" s="137"/>
      <c r="L28" s="138"/>
      <c r="M28" s="9"/>
    </row>
    <row r="29" spans="2:13" x14ac:dyDescent="0.3">
      <c r="B29" s="7"/>
      <c r="C29" s="146"/>
      <c r="D29" s="147"/>
      <c r="E29" s="141" t="s">
        <v>74</v>
      </c>
      <c r="F29" s="141"/>
      <c r="G29" s="114">
        <v>25</v>
      </c>
      <c r="H29" s="115"/>
      <c r="I29" s="111">
        <f>G29/G30</f>
        <v>0.18382352941176472</v>
      </c>
      <c r="J29" s="111"/>
      <c r="K29" s="139"/>
      <c r="L29" s="140"/>
      <c r="M29" s="9"/>
    </row>
    <row r="30" spans="2:13" x14ac:dyDescent="0.3">
      <c r="B30" s="7"/>
      <c r="C30" s="120" t="s">
        <v>45</v>
      </c>
      <c r="D30" s="128"/>
      <c r="E30" s="128"/>
      <c r="F30" s="121"/>
      <c r="G30" s="120">
        <f>SUM(G20:H29)</f>
        <v>136</v>
      </c>
      <c r="H30" s="121"/>
      <c r="I30" s="129">
        <f>SUM(I20:J29)</f>
        <v>1</v>
      </c>
      <c r="J30" s="130"/>
      <c r="K30" s="127">
        <f>SUM(K20:L29)</f>
        <v>1</v>
      </c>
      <c r="L30" s="127"/>
      <c r="M30" s="9"/>
    </row>
    <row r="31" spans="2:13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131" t="s">
        <v>46</v>
      </c>
      <c r="M31" s="132"/>
    </row>
    <row r="32" spans="2:13" x14ac:dyDescent="0.3"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33"/>
      <c r="M32" s="134"/>
    </row>
    <row r="34" spans="2:13" x14ac:dyDescent="0.3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</row>
    <row r="35" spans="2:13" x14ac:dyDescent="0.3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  <row r="36" spans="2:13" x14ac:dyDescent="0.3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  <row r="37" spans="2:13" x14ac:dyDescent="0.3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9"/>
    </row>
    <row r="38" spans="2:13" x14ac:dyDescent="0.3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</row>
    <row r="39" spans="2:13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9"/>
    </row>
    <row r="40" spans="2:13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9"/>
    </row>
    <row r="41" spans="2:13" x14ac:dyDescent="0.3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9"/>
    </row>
    <row r="42" spans="2:13" x14ac:dyDescent="0.3"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</row>
    <row r="43" spans="2:13" x14ac:dyDescent="0.3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9"/>
    </row>
    <row r="44" spans="2:13" x14ac:dyDescent="0.3"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9"/>
    </row>
    <row r="45" spans="2:13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9"/>
    </row>
    <row r="46" spans="2:13" x14ac:dyDescent="0.3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9"/>
    </row>
    <row r="47" spans="2:13" x14ac:dyDescent="0.3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9"/>
    </row>
    <row r="48" spans="2:13" x14ac:dyDescent="0.3"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9"/>
    </row>
    <row r="49" spans="2:13" x14ac:dyDescent="0.3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9"/>
    </row>
    <row r="50" spans="2:13" x14ac:dyDescent="0.3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9"/>
    </row>
    <row r="51" spans="2:13" x14ac:dyDescent="0.3">
      <c r="B51" s="7"/>
      <c r="C51" s="8"/>
      <c r="D51" s="8"/>
      <c r="E51" s="8"/>
      <c r="F51" s="8"/>
      <c r="G51" s="8"/>
      <c r="H51" s="8"/>
      <c r="I51" s="8"/>
      <c r="J51" s="8"/>
      <c r="K51" s="8"/>
      <c r="L51" s="131" t="s">
        <v>56</v>
      </c>
      <c r="M51" s="132"/>
    </row>
    <row r="52" spans="2:13" x14ac:dyDescent="0.3"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33"/>
      <c r="M52" s="134"/>
    </row>
  </sheetData>
  <mergeCells count="50">
    <mergeCell ref="I28:J28"/>
    <mergeCell ref="E29:F29"/>
    <mergeCell ref="I29:J29"/>
    <mergeCell ref="I27:J27"/>
    <mergeCell ref="G25:H25"/>
    <mergeCell ref="I25:J25"/>
    <mergeCell ref="G27:H27"/>
    <mergeCell ref="G28:H28"/>
    <mergeCell ref="G29:H29"/>
    <mergeCell ref="E25:F25"/>
    <mergeCell ref="E27:F27"/>
    <mergeCell ref="E28:F28"/>
    <mergeCell ref="E21:F21"/>
    <mergeCell ref="I21:J21"/>
    <mergeCell ref="E22:F22"/>
    <mergeCell ref="I22:J22"/>
    <mergeCell ref="E23:F23"/>
    <mergeCell ref="I23:J23"/>
    <mergeCell ref="K19:L19"/>
    <mergeCell ref="I20:J20"/>
    <mergeCell ref="C20:D22"/>
    <mergeCell ref="K20:L22"/>
    <mergeCell ref="G24:H24"/>
    <mergeCell ref="G19:H19"/>
    <mergeCell ref="G20:H20"/>
    <mergeCell ref="G21:H21"/>
    <mergeCell ref="G22:H22"/>
    <mergeCell ref="G23:H23"/>
    <mergeCell ref="E24:F24"/>
    <mergeCell ref="I24:J24"/>
    <mergeCell ref="C19:D19"/>
    <mergeCell ref="E19:F19"/>
    <mergeCell ref="E20:F20"/>
    <mergeCell ref="I19:J19"/>
    <mergeCell ref="L31:M32"/>
    <mergeCell ref="L51:M52"/>
    <mergeCell ref="N2:O3"/>
    <mergeCell ref="E26:F26"/>
    <mergeCell ref="G26:H26"/>
    <mergeCell ref="I26:J26"/>
    <mergeCell ref="C30:F30"/>
    <mergeCell ref="G30:H30"/>
    <mergeCell ref="I30:J30"/>
    <mergeCell ref="K30:L30"/>
    <mergeCell ref="C23:D26"/>
    <mergeCell ref="C27:D29"/>
    <mergeCell ref="K23:L26"/>
    <mergeCell ref="K27:L29"/>
    <mergeCell ref="C3:J3"/>
    <mergeCell ref="C14:J14"/>
  </mergeCells>
  <hyperlinks>
    <hyperlink ref="N2" location="Index!A1" display="Back to Index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Drop Down 1">
              <controlPr defaultSize="0" autoLine="0" autoPict="0">
                <anchor moveWithCells="1">
                  <from>
                    <xdr:col>3</xdr:col>
                    <xdr:colOff>45720</xdr:colOff>
                    <xdr:row>4</xdr:row>
                    <xdr:rowOff>0</xdr:rowOff>
                  </from>
                  <to>
                    <xdr:col>4</xdr:col>
                    <xdr:colOff>426720</xdr:colOff>
                    <xdr:row>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7</xdr:col>
                    <xdr:colOff>708660</xdr:colOff>
                    <xdr:row>4</xdr:row>
                    <xdr:rowOff>0</xdr:rowOff>
                  </from>
                  <to>
                    <xdr:col>8</xdr:col>
                    <xdr:colOff>487680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 Down 3">
              <controlPr defaultSize="0" autoLine="0" autoPict="0">
                <anchor moveWithCells="1">
                  <from>
                    <xdr:col>7</xdr:col>
                    <xdr:colOff>708660</xdr:colOff>
                    <xdr:row>6</xdr:row>
                    <xdr:rowOff>7620</xdr:rowOff>
                  </from>
                  <to>
                    <xdr:col>8</xdr:col>
                    <xdr:colOff>487680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Drop Down 4">
              <controlPr defaultSize="0" autoLine="0" autoPict="0">
                <anchor moveWithCells="1">
                  <from>
                    <xdr:col>7</xdr:col>
                    <xdr:colOff>708660</xdr:colOff>
                    <xdr:row>8</xdr:row>
                    <xdr:rowOff>7620</xdr:rowOff>
                  </from>
                  <to>
                    <xdr:col>8</xdr:col>
                    <xdr:colOff>487680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Drop Down 5">
              <controlPr defaultSize="0" autoLine="0" autoPict="0">
                <anchor moveWithCells="1">
                  <from>
                    <xdr:col>3</xdr:col>
                    <xdr:colOff>45720</xdr:colOff>
                    <xdr:row>6</xdr:row>
                    <xdr:rowOff>0</xdr:rowOff>
                  </from>
                  <to>
                    <xdr:col>4</xdr:col>
                    <xdr:colOff>426720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8" name="Button 6">
              <controlPr defaultSize="0" print="0" autoFill="0" autoPict="0" macro="[0]!Button10_Click">
                <anchor moveWithCells="1" sizeWithCells="1">
                  <from>
                    <xdr:col>10</xdr:col>
                    <xdr:colOff>525780</xdr:colOff>
                    <xdr:row>8</xdr:row>
                    <xdr:rowOff>22860</xdr:rowOff>
                  </from>
                  <to>
                    <xdr:col>11</xdr:col>
                    <xdr:colOff>571500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9" name="Drop Down 7">
              <controlPr defaultSize="0" autoLine="0" autoPict="0">
                <anchor moveWithCells="1">
                  <from>
                    <xdr:col>3</xdr:col>
                    <xdr:colOff>45720</xdr:colOff>
                    <xdr:row>8</xdr:row>
                    <xdr:rowOff>0</xdr:rowOff>
                  </from>
                  <to>
                    <xdr:col>4</xdr:col>
                    <xdr:colOff>426720</xdr:colOff>
                    <xdr:row>8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20"/>
  <sheetViews>
    <sheetView showGridLines="0" workbookViewId="0">
      <selection activeCell="N12" sqref="N12:P13"/>
    </sheetView>
  </sheetViews>
  <sheetFormatPr defaultRowHeight="14.4" x14ac:dyDescent="0.3"/>
  <cols>
    <col min="2" max="2" width="2.5546875" customWidth="1"/>
    <col min="3" max="3" width="8.88671875" bestFit="1" customWidth="1"/>
    <col min="4" max="4" width="10.44140625" bestFit="1" customWidth="1"/>
    <col min="5" max="5" width="7" customWidth="1"/>
    <col min="6" max="6" width="12.109375" customWidth="1"/>
    <col min="7" max="7" width="13.33203125" customWidth="1"/>
    <col min="8" max="8" width="9.44140625" bestFit="1" customWidth="1"/>
    <col min="9" max="9" width="11.109375" bestFit="1" customWidth="1"/>
    <col min="10" max="10" width="15.109375" bestFit="1" customWidth="1"/>
    <col min="11" max="11" width="13" customWidth="1"/>
    <col min="12" max="12" width="17.6640625" customWidth="1"/>
    <col min="13" max="13" width="10.5546875" bestFit="1" customWidth="1"/>
    <col min="14" max="14" width="9.33203125" customWidth="1"/>
    <col min="15" max="15" width="9.5546875" customWidth="1"/>
    <col min="16" max="16" width="13.88671875" bestFit="1" customWidth="1"/>
    <col min="17" max="17" width="2.6640625" customWidth="1"/>
  </cols>
  <sheetData>
    <row r="2" spans="2:17" ht="6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2:17" ht="18.75" x14ac:dyDescent="0.3">
      <c r="B3" s="7"/>
      <c r="C3" s="109" t="s">
        <v>117</v>
      </c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9"/>
    </row>
    <row r="4" spans="2:17" ht="15" x14ac:dyDescent="0.25">
      <c r="B4" s="7"/>
      <c r="D4" s="29" t="s">
        <v>112</v>
      </c>
      <c r="E4" s="32"/>
      <c r="F4" s="33"/>
      <c r="H4" s="29" t="s">
        <v>54</v>
      </c>
      <c r="I4" s="8"/>
      <c r="J4" s="8"/>
      <c r="L4" s="29" t="s">
        <v>114</v>
      </c>
      <c r="M4" s="8"/>
      <c r="N4" s="8"/>
      <c r="O4" s="8"/>
      <c r="P4" s="8"/>
      <c r="Q4" s="9"/>
    </row>
    <row r="5" spans="2:17" ht="15" x14ac:dyDescent="0.25">
      <c r="B5" s="7"/>
      <c r="E5" s="8"/>
      <c r="F5" s="8"/>
      <c r="I5" s="8"/>
      <c r="J5" s="8"/>
      <c r="M5" s="8"/>
      <c r="N5" s="8"/>
      <c r="O5" s="8"/>
      <c r="P5" s="8"/>
      <c r="Q5" s="9"/>
    </row>
    <row r="6" spans="2:17" ht="15" x14ac:dyDescent="0.25">
      <c r="B6" s="7"/>
      <c r="C6" s="8"/>
      <c r="D6" s="29" t="s">
        <v>113</v>
      </c>
      <c r="E6" s="32"/>
      <c r="F6" s="33"/>
      <c r="H6" s="29" t="s">
        <v>65</v>
      </c>
      <c r="I6" s="8"/>
      <c r="J6" s="8"/>
      <c r="L6" s="29" t="s">
        <v>90</v>
      </c>
      <c r="M6" s="8"/>
      <c r="N6" s="8"/>
      <c r="O6" s="8"/>
      <c r="P6" s="8"/>
      <c r="Q6" s="9"/>
    </row>
    <row r="7" spans="2:17" ht="15" x14ac:dyDescent="0.25"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5"/>
    </row>
    <row r="8" spans="2:17" ht="6.75" customHeight="1" x14ac:dyDescent="0.25"/>
    <row r="9" spans="2:17" x14ac:dyDescent="0.3">
      <c r="B9" s="4"/>
      <c r="C9" s="152" t="s">
        <v>111</v>
      </c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6"/>
    </row>
    <row r="10" spans="2:17" x14ac:dyDescent="0.3">
      <c r="B10" s="7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9"/>
    </row>
    <row r="11" spans="2:17" ht="18.75" x14ac:dyDescent="0.25">
      <c r="B11" s="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9"/>
    </row>
    <row r="12" spans="2:17" ht="15" x14ac:dyDescent="0.25">
      <c r="B12" s="7"/>
      <c r="C12" s="29" t="s">
        <v>112</v>
      </c>
      <c r="D12" s="30">
        <v>43160</v>
      </c>
      <c r="E12" s="3"/>
      <c r="G12" s="29" t="s">
        <v>54</v>
      </c>
      <c r="H12" s="3" t="s">
        <v>57</v>
      </c>
      <c r="J12" s="3"/>
      <c r="K12" s="29" t="s">
        <v>114</v>
      </c>
      <c r="L12" s="3" t="s">
        <v>57</v>
      </c>
      <c r="M12" s="3"/>
      <c r="N12" s="3" t="s">
        <v>115</v>
      </c>
      <c r="O12" s="3"/>
      <c r="P12" s="31">
        <v>43221.666666666664</v>
      </c>
      <c r="Q12" s="9"/>
    </row>
    <row r="13" spans="2:17" ht="15" x14ac:dyDescent="0.25">
      <c r="B13" s="7"/>
      <c r="C13" s="29" t="s">
        <v>113</v>
      </c>
      <c r="D13" s="30">
        <v>43179</v>
      </c>
      <c r="E13" s="3"/>
      <c r="G13" s="29" t="s">
        <v>65</v>
      </c>
      <c r="H13" s="3" t="s">
        <v>57</v>
      </c>
      <c r="J13" s="3"/>
      <c r="K13" s="29" t="s">
        <v>90</v>
      </c>
      <c r="L13" s="3" t="s">
        <v>57</v>
      </c>
      <c r="M13" s="3"/>
      <c r="N13" s="3" t="s">
        <v>116</v>
      </c>
      <c r="O13" s="3"/>
      <c r="P13" s="34">
        <v>1</v>
      </c>
      <c r="Q13" s="9"/>
    </row>
    <row r="14" spans="2:17" ht="15" x14ac:dyDescent="0.25">
      <c r="B14" s="7"/>
      <c r="Q14" s="9"/>
    </row>
    <row r="15" spans="2:17" ht="25.5" x14ac:dyDescent="0.25">
      <c r="B15" s="7"/>
      <c r="C15" s="26" t="s">
        <v>82</v>
      </c>
      <c r="D15" s="26" t="s">
        <v>83</v>
      </c>
      <c r="E15" s="26" t="s">
        <v>118</v>
      </c>
      <c r="F15" s="26" t="s">
        <v>84</v>
      </c>
      <c r="G15" s="26" t="s">
        <v>85</v>
      </c>
      <c r="H15" s="26" t="s">
        <v>114</v>
      </c>
      <c r="I15" s="26" t="s">
        <v>86</v>
      </c>
      <c r="J15" s="26" t="s">
        <v>65</v>
      </c>
      <c r="K15" s="26" t="s">
        <v>87</v>
      </c>
      <c r="L15" s="26" t="s">
        <v>88</v>
      </c>
      <c r="M15" s="26" t="s">
        <v>89</v>
      </c>
      <c r="N15" s="26" t="s">
        <v>90</v>
      </c>
      <c r="O15" s="26" t="s">
        <v>107</v>
      </c>
      <c r="P15" s="26" t="s">
        <v>104</v>
      </c>
      <c r="Q15" s="9"/>
    </row>
    <row r="16" spans="2:17" ht="15" x14ac:dyDescent="0.25">
      <c r="B16" s="7"/>
      <c r="C16" s="24" t="s">
        <v>108</v>
      </c>
      <c r="D16" s="25">
        <v>43172</v>
      </c>
      <c r="E16" s="24">
        <v>46048</v>
      </c>
      <c r="F16" s="24" t="s">
        <v>100</v>
      </c>
      <c r="G16" s="24">
        <v>3002482799</v>
      </c>
      <c r="H16" s="24" t="s">
        <v>91</v>
      </c>
      <c r="I16" s="24" t="s">
        <v>92</v>
      </c>
      <c r="J16" s="24" t="s">
        <v>103</v>
      </c>
      <c r="K16" s="27" t="s">
        <v>94</v>
      </c>
      <c r="L16" s="27" t="s">
        <v>95</v>
      </c>
      <c r="M16" s="24">
        <v>7</v>
      </c>
      <c r="N16" s="24" t="s">
        <v>98</v>
      </c>
      <c r="O16" s="25">
        <v>43181</v>
      </c>
      <c r="P16" s="24" t="s">
        <v>105</v>
      </c>
      <c r="Q16" s="9"/>
    </row>
    <row r="17" spans="2:17" ht="15" x14ac:dyDescent="0.25">
      <c r="B17" s="7"/>
      <c r="C17" s="24" t="s">
        <v>109</v>
      </c>
      <c r="D17" s="25">
        <v>43169</v>
      </c>
      <c r="E17" s="24">
        <v>47806</v>
      </c>
      <c r="F17" s="24" t="s">
        <v>101</v>
      </c>
      <c r="G17" s="24">
        <v>3332384412</v>
      </c>
      <c r="H17" s="24" t="s">
        <v>91</v>
      </c>
      <c r="I17" s="24" t="s">
        <v>92</v>
      </c>
      <c r="J17" s="24" t="s">
        <v>103</v>
      </c>
      <c r="K17" s="27" t="s">
        <v>94</v>
      </c>
      <c r="L17" s="27" t="s">
        <v>96</v>
      </c>
      <c r="M17" s="24">
        <v>7</v>
      </c>
      <c r="N17" s="24" t="s">
        <v>98</v>
      </c>
      <c r="O17" s="25">
        <v>43174</v>
      </c>
      <c r="P17" s="24"/>
      <c r="Q17" s="9"/>
    </row>
    <row r="18" spans="2:17" ht="15" x14ac:dyDescent="0.25">
      <c r="B18" s="7"/>
      <c r="C18" s="24" t="s">
        <v>110</v>
      </c>
      <c r="D18" s="25">
        <v>43179</v>
      </c>
      <c r="E18" s="24">
        <v>47405</v>
      </c>
      <c r="F18" s="24" t="s">
        <v>102</v>
      </c>
      <c r="G18" s="24">
        <v>3222226012</v>
      </c>
      <c r="H18" s="24" t="s">
        <v>91</v>
      </c>
      <c r="I18" s="24" t="s">
        <v>92</v>
      </c>
      <c r="J18" s="24" t="s">
        <v>103</v>
      </c>
      <c r="K18" s="27" t="s">
        <v>94</v>
      </c>
      <c r="L18" s="27" t="s">
        <v>97</v>
      </c>
      <c r="M18" s="24">
        <v>5</v>
      </c>
      <c r="N18" s="24" t="s">
        <v>99</v>
      </c>
      <c r="O18" s="25">
        <v>43187</v>
      </c>
      <c r="P18" s="24" t="s">
        <v>106</v>
      </c>
      <c r="Q18" s="9"/>
    </row>
    <row r="19" spans="2:17" ht="15" x14ac:dyDescent="0.25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</row>
    <row r="20" spans="2:17" ht="15" x14ac:dyDescent="0.25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0" t="s">
        <v>24</v>
      </c>
      <c r="Q20" s="151"/>
    </row>
  </sheetData>
  <mergeCells count="3">
    <mergeCell ref="P20:Q20"/>
    <mergeCell ref="C9:P10"/>
    <mergeCell ref="C3:P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Button 1">
              <controlPr defaultSize="0" print="0" autoFill="0" autoPict="0" macro="[0]!Button10_Click">
                <anchor moveWithCells="1" sizeWithCells="1">
                  <from>
                    <xdr:col>15</xdr:col>
                    <xdr:colOff>22860</xdr:colOff>
                    <xdr:row>5</xdr:row>
                    <xdr:rowOff>22860</xdr:rowOff>
                  </from>
                  <to>
                    <xdr:col>15</xdr:col>
                    <xdr:colOff>678180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Drop Down 2">
              <controlPr defaultSize="0" autoLine="0" autoPict="0">
                <anchor moveWithCells="1">
                  <from>
                    <xdr:col>8</xdr:col>
                    <xdr:colOff>266700</xdr:colOff>
                    <xdr:row>3</xdr:row>
                    <xdr:rowOff>7620</xdr:rowOff>
                  </from>
                  <to>
                    <xdr:col>9</xdr:col>
                    <xdr:colOff>556260</xdr:colOff>
                    <xdr:row>3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Drop Down 3">
              <controlPr defaultSize="0" autoLine="0" autoPict="0">
                <anchor moveWithCells="1">
                  <from>
                    <xdr:col>8</xdr:col>
                    <xdr:colOff>274320</xdr:colOff>
                    <xdr:row>5</xdr:row>
                    <xdr:rowOff>7620</xdr:rowOff>
                  </from>
                  <to>
                    <xdr:col>9</xdr:col>
                    <xdr:colOff>563880</xdr:colOff>
                    <xdr:row>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Drop Down 4">
              <controlPr defaultSize="0" autoLine="0" autoPict="0">
                <anchor moveWithCells="1">
                  <from>
                    <xdr:col>11</xdr:col>
                    <xdr:colOff>533400</xdr:colOff>
                    <xdr:row>3</xdr:row>
                    <xdr:rowOff>0</xdr:rowOff>
                  </from>
                  <to>
                    <xdr:col>12</xdr:col>
                    <xdr:colOff>381000</xdr:colOff>
                    <xdr:row>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Drop Down 5">
              <controlPr defaultSize="0" autoLine="0" autoPict="0">
                <anchor moveWithCells="1">
                  <from>
                    <xdr:col>11</xdr:col>
                    <xdr:colOff>533400</xdr:colOff>
                    <xdr:row>5</xdr:row>
                    <xdr:rowOff>7620</xdr:rowOff>
                  </from>
                  <to>
                    <xdr:col>12</xdr:col>
                    <xdr:colOff>381000</xdr:colOff>
                    <xdr:row>5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31"/>
  <sheetViews>
    <sheetView showGridLines="0" workbookViewId="0">
      <selection activeCell="C8" sqref="C8:G8"/>
    </sheetView>
  </sheetViews>
  <sheetFormatPr defaultRowHeight="14.4" x14ac:dyDescent="0.3"/>
  <cols>
    <col min="1" max="1" width="9.6640625" customWidth="1"/>
    <col min="2" max="2" width="4.44140625" customWidth="1"/>
    <col min="3" max="3" width="17.88671875" customWidth="1"/>
    <col min="4" max="4" width="23.6640625" bestFit="1" customWidth="1"/>
    <col min="5" max="5" width="21.6640625" bestFit="1" customWidth="1"/>
    <col min="6" max="6" width="19.88671875" bestFit="1" customWidth="1"/>
    <col min="7" max="7" width="13.44140625" bestFit="1" customWidth="1"/>
    <col min="8" max="8" width="2.33203125" customWidth="1"/>
  </cols>
  <sheetData>
    <row r="1" spans="2:8" ht="9" customHeight="1" x14ac:dyDescent="0.25"/>
    <row r="2" spans="2:8" ht="10.5" customHeight="1" x14ac:dyDescent="0.25">
      <c r="B2" s="4"/>
      <c r="C2" s="5"/>
      <c r="D2" s="5"/>
      <c r="E2" s="5"/>
      <c r="F2" s="5"/>
      <c r="G2" s="5"/>
      <c r="H2" s="6"/>
    </row>
    <row r="3" spans="2:8" ht="18.75" x14ac:dyDescent="0.3">
      <c r="B3" s="7"/>
      <c r="C3" s="109" t="s">
        <v>150</v>
      </c>
      <c r="D3" s="109"/>
      <c r="E3" s="109"/>
      <c r="F3" s="109"/>
      <c r="G3" s="109"/>
      <c r="H3" s="9"/>
    </row>
    <row r="4" spans="2:8" ht="15" x14ac:dyDescent="0.25">
      <c r="B4" s="7"/>
      <c r="C4" s="8" t="s">
        <v>49</v>
      </c>
      <c r="D4" s="8"/>
      <c r="E4" s="8"/>
      <c r="F4" s="8"/>
      <c r="G4" s="8"/>
      <c r="H4" s="9"/>
    </row>
    <row r="5" spans="2:8" s="47" customFormat="1" ht="6.75" customHeight="1" x14ac:dyDescent="0.25">
      <c r="B5" s="51"/>
      <c r="C5" s="52"/>
      <c r="D5" s="52"/>
      <c r="E5" s="52"/>
      <c r="F5" s="52"/>
      <c r="G5" s="52"/>
      <c r="H5" s="53"/>
    </row>
    <row r="6" spans="2:8" s="47" customFormat="1" ht="15" x14ac:dyDescent="0.25"/>
    <row r="7" spans="2:8" ht="6" customHeight="1" x14ac:dyDescent="0.25">
      <c r="B7" s="4"/>
      <c r="C7" s="5"/>
      <c r="D7" s="5"/>
      <c r="E7" s="5"/>
      <c r="F7" s="5"/>
      <c r="G7" s="5"/>
      <c r="H7" s="6"/>
    </row>
    <row r="8" spans="2:8" ht="18.75" x14ac:dyDescent="0.3">
      <c r="B8" s="7"/>
      <c r="C8" s="109" t="s">
        <v>126</v>
      </c>
      <c r="D8" s="109"/>
      <c r="E8" s="109"/>
      <c r="F8" s="109"/>
      <c r="G8" s="109"/>
      <c r="H8" s="9"/>
    </row>
    <row r="9" spans="2:8" ht="6.75" customHeight="1" x14ac:dyDescent="0.25">
      <c r="B9" s="7"/>
      <c r="C9" s="8"/>
      <c r="D9" s="8"/>
      <c r="E9" s="8"/>
      <c r="F9" s="8"/>
      <c r="G9" s="8"/>
      <c r="H9" s="9"/>
    </row>
    <row r="10" spans="2:8" ht="15" x14ac:dyDescent="0.25">
      <c r="B10" s="7"/>
      <c r="C10" s="8" t="s">
        <v>147</v>
      </c>
      <c r="D10" s="8"/>
      <c r="F10" s="11" t="s">
        <v>115</v>
      </c>
      <c r="G10" s="48">
        <v>43221.666666666664</v>
      </c>
      <c r="H10" s="9"/>
    </row>
    <row r="11" spans="2:8" ht="15.75" thickBot="1" x14ac:dyDescent="0.3">
      <c r="B11" s="7"/>
      <c r="C11" s="8"/>
      <c r="D11" s="8"/>
      <c r="F11" s="11" t="s">
        <v>116</v>
      </c>
      <c r="G11" s="49">
        <v>1</v>
      </c>
      <c r="H11" s="9"/>
    </row>
    <row r="12" spans="2:8" ht="20.25" customHeight="1" thickBot="1" x14ac:dyDescent="0.3">
      <c r="B12" s="7"/>
      <c r="C12" s="54" t="s">
        <v>10</v>
      </c>
      <c r="D12" s="54" t="s">
        <v>155</v>
      </c>
      <c r="E12" s="54" t="s">
        <v>156</v>
      </c>
      <c r="F12" s="54" t="s">
        <v>157</v>
      </c>
      <c r="G12" s="54" t="s">
        <v>158</v>
      </c>
      <c r="H12" s="9"/>
    </row>
    <row r="13" spans="2:8" ht="15.75" thickBot="1" x14ac:dyDescent="0.3">
      <c r="B13" s="7"/>
      <c r="C13" s="55" t="s">
        <v>159</v>
      </c>
      <c r="D13" s="56">
        <v>1405210</v>
      </c>
      <c r="E13" s="56">
        <v>1405210</v>
      </c>
      <c r="F13" s="56">
        <v>1390210</v>
      </c>
      <c r="G13" s="56">
        <v>15000</v>
      </c>
      <c r="H13" s="9"/>
    </row>
    <row r="14" spans="2:8" ht="15.75" thickBot="1" x14ac:dyDescent="0.3">
      <c r="B14" s="7"/>
      <c r="C14" s="55" t="s">
        <v>160</v>
      </c>
      <c r="D14" s="56">
        <v>1536815</v>
      </c>
      <c r="E14" s="56">
        <v>2024213</v>
      </c>
      <c r="F14" s="56">
        <v>362398</v>
      </c>
      <c r="G14" s="56">
        <v>1661815</v>
      </c>
      <c r="H14" s="9"/>
    </row>
    <row r="15" spans="2:8" ht="15.75" thickBot="1" x14ac:dyDescent="0.3">
      <c r="B15" s="7"/>
      <c r="C15" s="55" t="s">
        <v>161</v>
      </c>
      <c r="D15" s="56">
        <v>635602</v>
      </c>
      <c r="E15" s="56">
        <v>1160779</v>
      </c>
      <c r="F15" s="56">
        <v>242248</v>
      </c>
      <c r="G15" s="56">
        <v>918531</v>
      </c>
      <c r="H15" s="9"/>
    </row>
    <row r="16" spans="2:8" ht="15.75" thickBot="1" x14ac:dyDescent="0.3">
      <c r="B16" s="7"/>
      <c r="C16" s="55" t="s">
        <v>162</v>
      </c>
      <c r="D16" s="56">
        <v>852245</v>
      </c>
      <c r="E16" s="56">
        <v>528744</v>
      </c>
      <c r="F16" s="56">
        <v>100000</v>
      </c>
      <c r="G16" s="56">
        <v>428744</v>
      </c>
      <c r="H16" s="9"/>
    </row>
    <row r="17" spans="2:8" ht="15" customHeight="1" thickBot="1" x14ac:dyDescent="0.3">
      <c r="B17" s="7"/>
      <c r="C17" s="55" t="s">
        <v>33</v>
      </c>
      <c r="D17" s="56">
        <v>526926</v>
      </c>
      <c r="E17" s="56">
        <v>588681</v>
      </c>
      <c r="F17" s="56">
        <v>287000</v>
      </c>
      <c r="G17" s="56">
        <v>301681</v>
      </c>
      <c r="H17" s="9"/>
    </row>
    <row r="18" spans="2:8" ht="15.75" thickBot="1" x14ac:dyDescent="0.3">
      <c r="B18" s="7"/>
      <c r="C18" s="55" t="s">
        <v>163</v>
      </c>
      <c r="D18" s="56">
        <v>400000</v>
      </c>
      <c r="E18" s="56">
        <v>400000</v>
      </c>
      <c r="F18" s="56">
        <v>0</v>
      </c>
      <c r="G18" s="56">
        <v>400000</v>
      </c>
      <c r="H18" s="9"/>
    </row>
    <row r="19" spans="2:8" ht="15.75" thickBot="1" x14ac:dyDescent="0.3">
      <c r="B19" s="7"/>
      <c r="C19" s="55" t="s">
        <v>164</v>
      </c>
      <c r="D19" s="56">
        <v>766306</v>
      </c>
      <c r="E19" s="56">
        <v>766306</v>
      </c>
      <c r="F19" s="56">
        <v>16306</v>
      </c>
      <c r="G19" s="56">
        <v>750000</v>
      </c>
      <c r="H19" s="9"/>
    </row>
    <row r="20" spans="2:8" ht="15.75" thickBot="1" x14ac:dyDescent="0.3">
      <c r="B20" s="7"/>
      <c r="C20" s="55" t="s">
        <v>165</v>
      </c>
      <c r="D20" s="56">
        <v>5988143</v>
      </c>
      <c r="E20" s="56">
        <v>7005802</v>
      </c>
      <c r="F20" s="56">
        <v>1929643</v>
      </c>
      <c r="G20" s="56">
        <v>5076159</v>
      </c>
      <c r="H20" s="9"/>
    </row>
    <row r="21" spans="2:8" ht="15.75" thickBot="1" x14ac:dyDescent="0.3">
      <c r="B21" s="7"/>
      <c r="C21" s="55" t="s">
        <v>166</v>
      </c>
      <c r="D21" s="56">
        <v>115013</v>
      </c>
      <c r="E21" s="56">
        <v>254058</v>
      </c>
      <c r="F21" s="56">
        <v>42025</v>
      </c>
      <c r="G21" s="56">
        <v>212033</v>
      </c>
      <c r="H21" s="9"/>
    </row>
    <row r="22" spans="2:8" ht="15.75" thickBot="1" x14ac:dyDescent="0.3">
      <c r="B22" s="7"/>
      <c r="C22" s="55" t="s">
        <v>167</v>
      </c>
      <c r="D22" s="56">
        <v>100000</v>
      </c>
      <c r="E22" s="56">
        <v>520000</v>
      </c>
      <c r="F22" s="56">
        <v>400000</v>
      </c>
      <c r="G22" s="56">
        <v>120000</v>
      </c>
      <c r="H22" s="9"/>
    </row>
    <row r="23" spans="2:8" ht="15.75" thickBot="1" x14ac:dyDescent="0.3">
      <c r="B23" s="7"/>
      <c r="C23" s="55" t="s">
        <v>168</v>
      </c>
      <c r="D23" s="56">
        <v>2680000</v>
      </c>
      <c r="E23" s="56">
        <v>3280000</v>
      </c>
      <c r="F23" s="56">
        <v>2680000</v>
      </c>
      <c r="G23" s="56">
        <v>600000</v>
      </c>
      <c r="H23" s="9"/>
    </row>
    <row r="24" spans="2:8" ht="15.75" thickBot="1" x14ac:dyDescent="0.3">
      <c r="B24" s="7"/>
      <c r="C24" s="55" t="s">
        <v>169</v>
      </c>
      <c r="D24" s="56">
        <v>35624</v>
      </c>
      <c r="E24" s="56">
        <v>35624</v>
      </c>
      <c r="F24" s="56">
        <v>0</v>
      </c>
      <c r="G24" s="56">
        <v>35624</v>
      </c>
      <c r="H24" s="9"/>
    </row>
    <row r="25" spans="2:8" ht="15" thickBot="1" x14ac:dyDescent="0.35">
      <c r="B25" s="7"/>
      <c r="C25" s="57" t="s">
        <v>45</v>
      </c>
      <c r="D25" s="58">
        <v>15041884</v>
      </c>
      <c r="E25" s="58">
        <v>17969417</v>
      </c>
      <c r="F25" s="58">
        <v>7449830</v>
      </c>
      <c r="G25" s="58">
        <v>10519587</v>
      </c>
      <c r="H25" s="9"/>
    </row>
    <row r="26" spans="2:8" x14ac:dyDescent="0.3">
      <c r="B26" s="13"/>
      <c r="C26" s="14"/>
      <c r="D26" s="14"/>
      <c r="E26" s="14"/>
      <c r="F26" s="14"/>
      <c r="G26" s="14"/>
      <c r="H26" s="15"/>
    </row>
    <row r="28" spans="2:8" x14ac:dyDescent="0.3">
      <c r="B28" t="s">
        <v>151</v>
      </c>
    </row>
    <row r="29" spans="2:8" x14ac:dyDescent="0.3">
      <c r="B29" t="s">
        <v>155</v>
      </c>
      <c r="E29" t="s">
        <v>172</v>
      </c>
    </row>
    <row r="30" spans="2:8" x14ac:dyDescent="0.3">
      <c r="B30" t="s">
        <v>170</v>
      </c>
      <c r="E30" t="s">
        <v>173</v>
      </c>
    </row>
    <row r="31" spans="2:8" x14ac:dyDescent="0.3">
      <c r="B31" t="s">
        <v>171</v>
      </c>
      <c r="E31" t="s">
        <v>174</v>
      </c>
    </row>
  </sheetData>
  <mergeCells count="2">
    <mergeCell ref="C3:G3"/>
    <mergeCell ref="C8:G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Drop Down 1">
              <controlPr defaultSize="0" autoLine="0" autoPict="0">
                <anchor moveWithCells="1">
                  <from>
                    <xdr:col>2</xdr:col>
                    <xdr:colOff>792480</xdr:colOff>
                    <xdr:row>3</xdr:row>
                    <xdr:rowOff>0</xdr:rowOff>
                  </from>
                  <to>
                    <xdr:col>3</xdr:col>
                    <xdr:colOff>632460</xdr:colOff>
                    <xdr:row>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4" name="Button 3">
              <controlPr defaultSize="0" print="0" autoFill="0" autoPict="0" macro="[0]!Button10_Click">
                <anchor moveWithCells="1" sizeWithCells="1">
                  <from>
                    <xdr:col>5</xdr:col>
                    <xdr:colOff>1295400</xdr:colOff>
                    <xdr:row>2</xdr:row>
                    <xdr:rowOff>228600</xdr:rowOff>
                  </from>
                  <to>
                    <xdr:col>6</xdr:col>
                    <xdr:colOff>632460</xdr:colOff>
                    <xdr:row>3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42"/>
  <sheetViews>
    <sheetView showGridLines="0" workbookViewId="0"/>
  </sheetViews>
  <sheetFormatPr defaultRowHeight="14.4" x14ac:dyDescent="0.3"/>
  <cols>
    <col min="1" max="1" width="9.6640625" customWidth="1"/>
    <col min="2" max="2" width="2.6640625" customWidth="1"/>
    <col min="3" max="3" width="32" bestFit="1" customWidth="1"/>
    <col min="4" max="4" width="41.33203125" bestFit="1" customWidth="1"/>
    <col min="5" max="5" width="9.88671875" customWidth="1"/>
    <col min="6" max="6" width="14.33203125" customWidth="1"/>
    <col min="7" max="8" width="13.44140625" bestFit="1" customWidth="1"/>
    <col min="9" max="9" width="9.109375" customWidth="1"/>
    <col min="10" max="10" width="3.44140625" customWidth="1"/>
  </cols>
  <sheetData>
    <row r="2" spans="1:11" ht="10.5" customHeight="1" x14ac:dyDescent="0.25">
      <c r="A2" s="8"/>
      <c r="B2" s="4"/>
      <c r="C2" s="5"/>
      <c r="D2" s="5"/>
      <c r="E2" s="5"/>
      <c r="F2" s="5"/>
      <c r="G2" s="5"/>
      <c r="H2" s="5"/>
      <c r="I2" s="5"/>
      <c r="J2" s="6"/>
      <c r="K2" s="8"/>
    </row>
    <row r="3" spans="1:11" ht="18.75" x14ac:dyDescent="0.3">
      <c r="A3" s="8"/>
      <c r="B3" s="7"/>
      <c r="C3" s="109" t="s">
        <v>150</v>
      </c>
      <c r="D3" s="109"/>
      <c r="E3" s="109"/>
      <c r="F3" s="109"/>
      <c r="G3" s="109"/>
      <c r="H3" s="109"/>
      <c r="I3" s="8"/>
      <c r="J3" s="9"/>
      <c r="K3" s="8"/>
    </row>
    <row r="4" spans="1:11" ht="15" x14ac:dyDescent="0.25">
      <c r="A4" s="8"/>
      <c r="B4" s="7"/>
      <c r="C4" s="8" t="s">
        <v>49</v>
      </c>
      <c r="D4" s="8"/>
      <c r="E4" s="8"/>
      <c r="F4" s="8"/>
      <c r="G4" s="8"/>
      <c r="H4" s="8"/>
      <c r="I4" s="8"/>
      <c r="J4" s="9"/>
      <c r="K4" s="8"/>
    </row>
    <row r="5" spans="1:11" s="47" customFormat="1" ht="6.75" customHeight="1" x14ac:dyDescent="0.25">
      <c r="A5" s="70"/>
      <c r="B5" s="71"/>
      <c r="C5" s="70"/>
      <c r="D5" s="70"/>
      <c r="E5" s="70"/>
      <c r="F5" s="70"/>
      <c r="G5" s="70"/>
      <c r="H5" s="70"/>
      <c r="I5" s="70"/>
      <c r="J5" s="72"/>
      <c r="K5" s="70"/>
    </row>
    <row r="6" spans="1:11" s="47" customFormat="1" ht="15" x14ac:dyDescent="0.25">
      <c r="A6" s="70"/>
      <c r="B6" s="51"/>
      <c r="C6" s="52"/>
      <c r="D6" s="52"/>
      <c r="E6" s="52"/>
      <c r="F6" s="52"/>
      <c r="G6" s="52"/>
      <c r="H6" s="52"/>
      <c r="I6" s="52"/>
      <c r="J6" s="53"/>
      <c r="K6" s="70"/>
    </row>
    <row r="7" spans="1:11" s="47" customFormat="1" ht="9.75" customHeight="1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</row>
    <row r="8" spans="1:11" s="47" customFormat="1" ht="9" customHeight="1" x14ac:dyDescent="0.25">
      <c r="A8" s="70"/>
      <c r="B8" s="73"/>
      <c r="C8" s="74"/>
      <c r="D8" s="74"/>
      <c r="E8" s="74"/>
      <c r="F8" s="74"/>
      <c r="G8" s="74"/>
      <c r="H8" s="74"/>
      <c r="I8" s="74"/>
      <c r="J8" s="75"/>
      <c r="K8" s="70"/>
    </row>
    <row r="9" spans="1:11" s="47" customFormat="1" ht="18.75" x14ac:dyDescent="0.3">
      <c r="A9" s="70"/>
      <c r="B9" s="71"/>
      <c r="C9" s="109" t="s">
        <v>198</v>
      </c>
      <c r="D9" s="109"/>
      <c r="E9" s="109"/>
      <c r="F9" s="109"/>
      <c r="G9" s="109"/>
      <c r="H9" s="109"/>
      <c r="I9" s="109"/>
      <c r="J9" s="72"/>
      <c r="K9" s="70"/>
    </row>
    <row r="10" spans="1:11" s="47" customFormat="1" ht="4.5" customHeight="1" x14ac:dyDescent="0.25">
      <c r="A10" s="70"/>
      <c r="B10" s="71"/>
      <c r="C10" s="70"/>
      <c r="D10" s="70"/>
      <c r="E10" s="70"/>
      <c r="F10" s="70"/>
      <c r="G10" s="70"/>
      <c r="H10" s="70"/>
      <c r="I10" s="70"/>
      <c r="J10" s="72"/>
      <c r="K10" s="70"/>
    </row>
    <row r="11" spans="1:11" s="47" customFormat="1" ht="15" x14ac:dyDescent="0.25">
      <c r="A11" s="70"/>
      <c r="B11" s="71"/>
      <c r="C11" s="8" t="s">
        <v>147</v>
      </c>
      <c r="D11" s="8"/>
      <c r="E11"/>
      <c r="G11" s="11" t="s">
        <v>115</v>
      </c>
      <c r="H11" s="48">
        <v>43221.666666666664</v>
      </c>
      <c r="I11" s="70"/>
      <c r="J11" s="72"/>
      <c r="K11" s="70"/>
    </row>
    <row r="12" spans="1:11" ht="15" customHeight="1" x14ac:dyDescent="0.25">
      <c r="A12" s="8"/>
      <c r="B12" s="7"/>
      <c r="C12" s="8"/>
      <c r="D12" s="8"/>
      <c r="G12" s="11" t="s">
        <v>116</v>
      </c>
      <c r="H12" s="49">
        <v>1</v>
      </c>
      <c r="I12" s="8"/>
      <c r="J12" s="9"/>
      <c r="K12" s="8"/>
    </row>
    <row r="13" spans="1:11" ht="7.5" customHeight="1" x14ac:dyDescent="0.3">
      <c r="B13" s="7"/>
      <c r="C13" s="17"/>
      <c r="D13" s="17"/>
      <c r="E13" s="17"/>
      <c r="F13" s="17"/>
      <c r="G13" s="17"/>
      <c r="H13" s="17"/>
      <c r="I13" s="8"/>
      <c r="J13" s="9"/>
    </row>
    <row r="14" spans="1:11" x14ac:dyDescent="0.3">
      <c r="B14" s="7"/>
      <c r="C14" s="155" t="s">
        <v>194</v>
      </c>
      <c r="D14" s="157" t="s">
        <v>65</v>
      </c>
      <c r="E14" s="158" t="s">
        <v>195</v>
      </c>
      <c r="F14" s="160">
        <v>2018</v>
      </c>
      <c r="G14" s="160"/>
      <c r="H14" s="160"/>
      <c r="I14" s="161" t="s">
        <v>146</v>
      </c>
      <c r="J14" s="9"/>
    </row>
    <row r="15" spans="1:11" x14ac:dyDescent="0.3">
      <c r="B15" s="7"/>
      <c r="C15" s="156"/>
      <c r="D15" s="156"/>
      <c r="E15" s="159"/>
      <c r="F15" s="68" t="s">
        <v>137</v>
      </c>
      <c r="G15" s="68" t="s">
        <v>45</v>
      </c>
      <c r="H15" s="69" t="s">
        <v>99</v>
      </c>
      <c r="I15" s="162"/>
      <c r="J15" s="9"/>
    </row>
    <row r="16" spans="1:11" x14ac:dyDescent="0.3">
      <c r="B16" s="7"/>
      <c r="C16" s="154" t="s">
        <v>93</v>
      </c>
      <c r="D16" s="59" t="s">
        <v>68</v>
      </c>
      <c r="E16" s="60"/>
      <c r="F16" s="61">
        <v>1</v>
      </c>
      <c r="G16" s="61">
        <v>1</v>
      </c>
      <c r="H16" s="61">
        <v>1</v>
      </c>
      <c r="I16" s="62"/>
      <c r="J16" s="9"/>
    </row>
    <row r="17" spans="2:10" x14ac:dyDescent="0.3">
      <c r="B17" s="7"/>
      <c r="C17" s="154"/>
      <c r="D17" s="59" t="s">
        <v>175</v>
      </c>
      <c r="E17" s="60">
        <v>1</v>
      </c>
      <c r="F17" s="61">
        <v>10</v>
      </c>
      <c r="G17" s="61">
        <v>11</v>
      </c>
      <c r="H17" s="61">
        <v>8</v>
      </c>
      <c r="I17" s="62">
        <v>3</v>
      </c>
      <c r="J17" s="9"/>
    </row>
    <row r="18" spans="2:10" x14ac:dyDescent="0.3">
      <c r="B18" s="7"/>
      <c r="C18" s="154"/>
      <c r="D18" s="59" t="s">
        <v>70</v>
      </c>
      <c r="E18" s="60">
        <v>1</v>
      </c>
      <c r="F18" s="61"/>
      <c r="G18" s="61">
        <v>1</v>
      </c>
      <c r="H18" s="61">
        <v>1</v>
      </c>
      <c r="I18" s="62"/>
      <c r="J18" s="76"/>
    </row>
    <row r="19" spans="2:10" x14ac:dyDescent="0.3">
      <c r="B19" s="7"/>
      <c r="C19" s="154" t="s">
        <v>176</v>
      </c>
      <c r="D19" s="59" t="s">
        <v>177</v>
      </c>
      <c r="E19" s="60"/>
      <c r="F19" s="61">
        <v>1</v>
      </c>
      <c r="G19" s="61">
        <v>1</v>
      </c>
      <c r="H19" s="61">
        <v>1</v>
      </c>
      <c r="I19" s="62"/>
      <c r="J19" s="76"/>
    </row>
    <row r="20" spans="2:10" x14ac:dyDescent="0.3">
      <c r="B20" s="7"/>
      <c r="C20" s="154"/>
      <c r="D20" s="59" t="s">
        <v>72</v>
      </c>
      <c r="E20" s="60">
        <v>2</v>
      </c>
      <c r="F20" s="61"/>
      <c r="G20" s="61">
        <v>2</v>
      </c>
      <c r="H20" s="61">
        <v>2</v>
      </c>
      <c r="I20" s="62"/>
      <c r="J20" s="76"/>
    </row>
    <row r="21" spans="2:10" x14ac:dyDescent="0.3">
      <c r="B21" s="7"/>
      <c r="C21" s="154" t="s">
        <v>178</v>
      </c>
      <c r="D21" s="59" t="s">
        <v>68</v>
      </c>
      <c r="E21" s="60">
        <v>14</v>
      </c>
      <c r="F21" s="61">
        <v>88</v>
      </c>
      <c r="G21" s="61">
        <v>102</v>
      </c>
      <c r="H21" s="61">
        <v>102</v>
      </c>
      <c r="I21" s="62"/>
      <c r="J21" s="76"/>
    </row>
    <row r="22" spans="2:10" x14ac:dyDescent="0.3">
      <c r="B22" s="7"/>
      <c r="C22" s="154"/>
      <c r="D22" s="59" t="s">
        <v>144</v>
      </c>
      <c r="E22" s="60"/>
      <c r="F22" s="61">
        <v>6</v>
      </c>
      <c r="G22" s="61">
        <v>6</v>
      </c>
      <c r="H22" s="61">
        <v>6</v>
      </c>
      <c r="I22" s="62"/>
      <c r="J22" s="76"/>
    </row>
    <row r="23" spans="2:10" x14ac:dyDescent="0.3">
      <c r="B23" s="7"/>
      <c r="C23" s="154"/>
      <c r="D23" s="59" t="s">
        <v>179</v>
      </c>
      <c r="E23" s="60"/>
      <c r="F23" s="61">
        <v>34</v>
      </c>
      <c r="G23" s="61">
        <v>34</v>
      </c>
      <c r="H23" s="61">
        <v>34</v>
      </c>
      <c r="I23" s="62"/>
      <c r="J23" s="76"/>
    </row>
    <row r="24" spans="2:10" x14ac:dyDescent="0.3">
      <c r="B24" s="7"/>
      <c r="C24" s="154"/>
      <c r="D24" s="59" t="s">
        <v>180</v>
      </c>
      <c r="E24" s="60"/>
      <c r="F24" s="61">
        <v>2</v>
      </c>
      <c r="G24" s="61">
        <v>2</v>
      </c>
      <c r="H24" s="61">
        <v>2</v>
      </c>
      <c r="I24" s="62"/>
      <c r="J24" s="76"/>
    </row>
    <row r="25" spans="2:10" x14ac:dyDescent="0.3">
      <c r="B25" s="7"/>
      <c r="C25" s="154" t="s">
        <v>181</v>
      </c>
      <c r="D25" s="59" t="s">
        <v>182</v>
      </c>
      <c r="E25" s="60">
        <v>1</v>
      </c>
      <c r="F25" s="61">
        <v>1</v>
      </c>
      <c r="G25" s="61">
        <v>2</v>
      </c>
      <c r="H25" s="61">
        <v>2</v>
      </c>
      <c r="I25" s="62"/>
      <c r="J25" s="76"/>
    </row>
    <row r="26" spans="2:10" x14ac:dyDescent="0.3">
      <c r="B26" s="7"/>
      <c r="C26" s="154"/>
      <c r="D26" s="59" t="s">
        <v>183</v>
      </c>
      <c r="E26" s="60">
        <v>2</v>
      </c>
      <c r="F26" s="61">
        <v>7</v>
      </c>
      <c r="G26" s="61">
        <v>9</v>
      </c>
      <c r="H26" s="61">
        <v>5</v>
      </c>
      <c r="I26" s="62">
        <v>4</v>
      </c>
      <c r="J26" s="76"/>
    </row>
    <row r="27" spans="2:10" x14ac:dyDescent="0.3">
      <c r="B27" s="7"/>
      <c r="C27" s="154"/>
      <c r="D27" s="59" t="s">
        <v>184</v>
      </c>
      <c r="E27" s="60"/>
      <c r="F27" s="61">
        <v>1</v>
      </c>
      <c r="G27" s="61">
        <v>1</v>
      </c>
      <c r="H27" s="61">
        <v>1</v>
      </c>
      <c r="I27" s="62"/>
      <c r="J27" s="76"/>
    </row>
    <row r="28" spans="2:10" x14ac:dyDescent="0.3">
      <c r="B28" s="7"/>
      <c r="C28" s="154"/>
      <c r="D28" s="59" t="s">
        <v>144</v>
      </c>
      <c r="E28" s="60"/>
      <c r="F28" s="61">
        <v>2</v>
      </c>
      <c r="G28" s="61">
        <v>2</v>
      </c>
      <c r="H28" s="61">
        <v>2</v>
      </c>
      <c r="I28" s="62"/>
      <c r="J28" s="76"/>
    </row>
    <row r="29" spans="2:10" x14ac:dyDescent="0.3">
      <c r="B29" s="7"/>
      <c r="C29" s="154" t="s">
        <v>185</v>
      </c>
      <c r="D29" s="59" t="s">
        <v>186</v>
      </c>
      <c r="E29" s="60"/>
      <c r="F29" s="61">
        <v>2</v>
      </c>
      <c r="G29" s="61">
        <v>2</v>
      </c>
      <c r="H29" s="61">
        <v>1</v>
      </c>
      <c r="I29" s="62">
        <v>1</v>
      </c>
      <c r="J29" s="76"/>
    </row>
    <row r="30" spans="2:10" x14ac:dyDescent="0.3">
      <c r="B30" s="7"/>
      <c r="C30" s="154"/>
      <c r="D30" s="59" t="s">
        <v>144</v>
      </c>
      <c r="E30" s="60"/>
      <c r="F30" s="61">
        <v>1</v>
      </c>
      <c r="G30" s="61">
        <v>1</v>
      </c>
      <c r="H30" s="61">
        <v>1</v>
      </c>
      <c r="I30" s="62"/>
      <c r="J30" s="76"/>
    </row>
    <row r="31" spans="2:10" x14ac:dyDescent="0.3">
      <c r="B31" s="7"/>
      <c r="C31" s="63" t="s">
        <v>187</v>
      </c>
      <c r="D31" s="59" t="s">
        <v>188</v>
      </c>
      <c r="E31" s="60"/>
      <c r="F31" s="61">
        <v>2</v>
      </c>
      <c r="G31" s="61">
        <v>2</v>
      </c>
      <c r="H31" s="61">
        <v>2</v>
      </c>
      <c r="I31" s="62"/>
      <c r="J31" s="76"/>
    </row>
    <row r="32" spans="2:10" x14ac:dyDescent="0.3">
      <c r="B32" s="7"/>
      <c r="C32" s="59" t="s">
        <v>189</v>
      </c>
      <c r="D32" s="59" t="s">
        <v>190</v>
      </c>
      <c r="E32" s="60"/>
      <c r="F32" s="61">
        <v>1</v>
      </c>
      <c r="G32" s="61">
        <v>1</v>
      </c>
      <c r="H32" s="61">
        <v>1</v>
      </c>
      <c r="I32" s="62"/>
      <c r="J32" s="76"/>
    </row>
    <row r="33" spans="2:10" x14ac:dyDescent="0.3">
      <c r="B33" s="7"/>
      <c r="C33" s="154" t="s">
        <v>191</v>
      </c>
      <c r="D33" s="59" t="s">
        <v>192</v>
      </c>
      <c r="E33" s="60"/>
      <c r="F33" s="61">
        <v>1</v>
      </c>
      <c r="G33" s="61">
        <v>1</v>
      </c>
      <c r="H33" s="61">
        <v>1</v>
      </c>
      <c r="I33" s="62"/>
      <c r="J33" s="76"/>
    </row>
    <row r="34" spans="2:10" x14ac:dyDescent="0.3">
      <c r="B34" s="7"/>
      <c r="C34" s="154"/>
      <c r="D34" s="59" t="s">
        <v>193</v>
      </c>
      <c r="E34" s="60"/>
      <c r="F34" s="61">
        <v>1</v>
      </c>
      <c r="G34" s="61">
        <v>1</v>
      </c>
      <c r="H34" s="61">
        <v>1</v>
      </c>
      <c r="I34" s="62"/>
      <c r="J34" s="76"/>
    </row>
    <row r="35" spans="2:10" x14ac:dyDescent="0.3">
      <c r="B35" s="7"/>
      <c r="C35" s="154"/>
      <c r="D35" s="59" t="s">
        <v>68</v>
      </c>
      <c r="E35" s="60"/>
      <c r="F35" s="61">
        <v>1</v>
      </c>
      <c r="G35" s="61">
        <v>1</v>
      </c>
      <c r="H35" s="61">
        <v>1</v>
      </c>
      <c r="I35" s="62"/>
      <c r="J35" s="76"/>
    </row>
    <row r="36" spans="2:10" x14ac:dyDescent="0.3">
      <c r="B36" s="7"/>
      <c r="C36" s="64" t="s">
        <v>145</v>
      </c>
      <c r="D36" s="64"/>
      <c r="E36" s="65">
        <v>21</v>
      </c>
      <c r="F36" s="66">
        <v>162</v>
      </c>
      <c r="G36" s="66">
        <v>183</v>
      </c>
      <c r="H36" s="66">
        <v>175</v>
      </c>
      <c r="I36" s="67">
        <v>8</v>
      </c>
      <c r="J36" s="76"/>
    </row>
    <row r="37" spans="2:10" ht="18" x14ac:dyDescent="0.35">
      <c r="B37" s="13"/>
      <c r="C37" s="77"/>
      <c r="D37" s="77"/>
      <c r="E37" s="77"/>
      <c r="F37" s="77"/>
      <c r="G37" s="77"/>
      <c r="H37" s="77"/>
      <c r="I37" s="14"/>
      <c r="J37" s="78"/>
    </row>
    <row r="39" spans="2:10" x14ac:dyDescent="0.3">
      <c r="B39" t="s">
        <v>197</v>
      </c>
    </row>
    <row r="40" spans="2:10" x14ac:dyDescent="0.3">
      <c r="B40" s="2" t="s">
        <v>154</v>
      </c>
      <c r="C40" t="s">
        <v>152</v>
      </c>
    </row>
    <row r="41" spans="2:10" x14ac:dyDescent="0.3">
      <c r="B41" s="2" t="s">
        <v>153</v>
      </c>
    </row>
    <row r="42" spans="2:10" x14ac:dyDescent="0.3">
      <c r="B42" t="s">
        <v>196</v>
      </c>
    </row>
  </sheetData>
  <mergeCells count="13">
    <mergeCell ref="C3:H3"/>
    <mergeCell ref="C29:C30"/>
    <mergeCell ref="C33:C35"/>
    <mergeCell ref="C9:I9"/>
    <mergeCell ref="C14:C15"/>
    <mergeCell ref="D14:D15"/>
    <mergeCell ref="E14:E15"/>
    <mergeCell ref="F14:H14"/>
    <mergeCell ref="I14:I15"/>
    <mergeCell ref="C16:C18"/>
    <mergeCell ref="C19:C20"/>
    <mergeCell ref="C21:C24"/>
    <mergeCell ref="C25:C2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Drop Down 1">
              <controlPr defaultSize="0" autoLine="0" autoPict="0">
                <anchor moveWithCells="1">
                  <from>
                    <xdr:col>2</xdr:col>
                    <xdr:colOff>792480</xdr:colOff>
                    <xdr:row>3</xdr:row>
                    <xdr:rowOff>0</xdr:rowOff>
                  </from>
                  <to>
                    <xdr:col>2</xdr:col>
                    <xdr:colOff>1821180</xdr:colOff>
                    <xdr:row>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4" name="Button 2">
              <controlPr defaultSize="0" print="0" autoFill="0" autoPict="0" macro="[0]!Button10_Click">
                <anchor moveWithCells="1" sizeWithCells="1">
                  <from>
                    <xdr:col>7</xdr:col>
                    <xdr:colOff>350520</xdr:colOff>
                    <xdr:row>3</xdr:row>
                    <xdr:rowOff>106680</xdr:rowOff>
                  </from>
                  <to>
                    <xdr:col>8</xdr:col>
                    <xdr:colOff>114300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V40"/>
  <sheetViews>
    <sheetView showGridLines="0" topLeftCell="D1" workbookViewId="0"/>
  </sheetViews>
  <sheetFormatPr defaultRowHeight="14.4" x14ac:dyDescent="0.3"/>
  <cols>
    <col min="1" max="1" width="4.88671875" customWidth="1"/>
    <col min="2" max="2" width="1.88671875" customWidth="1"/>
    <col min="3" max="3" width="23.33203125" customWidth="1"/>
    <col min="4" max="4" width="39.6640625" customWidth="1"/>
    <col min="5" max="5" width="8.109375" customWidth="1"/>
    <col min="6" max="6" width="6.109375" customWidth="1"/>
    <col min="7" max="7" width="7.5546875" customWidth="1"/>
    <col min="9" max="9" width="7.33203125" customWidth="1"/>
    <col min="13" max="13" width="4.6640625" customWidth="1"/>
    <col min="14" max="15" width="6.33203125" customWidth="1"/>
    <col min="16" max="16" width="7.6640625" customWidth="1"/>
    <col min="17" max="17" width="4.33203125" customWidth="1"/>
    <col min="18" max="19" width="6" customWidth="1"/>
    <col min="20" max="20" width="7.5546875" customWidth="1"/>
    <col min="22" max="22" width="3.33203125" customWidth="1"/>
  </cols>
  <sheetData>
    <row r="2" spans="2:22" ht="15" x14ac:dyDescent="0.25">
      <c r="B2" s="97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</row>
    <row r="3" spans="2:22" ht="18.75" x14ac:dyDescent="0.3">
      <c r="B3" s="100"/>
      <c r="C3" s="109" t="s">
        <v>150</v>
      </c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1"/>
    </row>
    <row r="4" spans="2:22" ht="13.5" customHeight="1" x14ac:dyDescent="0.25">
      <c r="B4" s="100"/>
      <c r="C4" s="8" t="s">
        <v>49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101"/>
    </row>
    <row r="5" spans="2:22" ht="15" x14ac:dyDescent="0.25">
      <c r="B5" s="102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4"/>
    </row>
    <row r="6" spans="2:22" ht="8.25" customHeight="1" x14ac:dyDescent="0.25"/>
    <row r="7" spans="2:22" ht="15" x14ac:dyDescent="0.25">
      <c r="B7" s="97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9"/>
    </row>
    <row r="8" spans="2:22" ht="18.75" x14ac:dyDescent="0.3">
      <c r="B8" s="100"/>
      <c r="C8" s="109" t="s">
        <v>207</v>
      </c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1"/>
    </row>
    <row r="9" spans="2:22" ht="15" x14ac:dyDescent="0.25">
      <c r="B9" s="100"/>
      <c r="C9" s="8" t="s">
        <v>147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1" t="s">
        <v>115</v>
      </c>
      <c r="S9" s="163">
        <v>43221.666666666664</v>
      </c>
      <c r="T9" s="163"/>
      <c r="U9" s="163"/>
      <c r="V9" s="101"/>
    </row>
    <row r="10" spans="2:22" ht="15" x14ac:dyDescent="0.25">
      <c r="B10" s="10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1" t="s">
        <v>116</v>
      </c>
      <c r="Q10" s="49">
        <v>1</v>
      </c>
      <c r="S10" s="8"/>
      <c r="T10" s="8"/>
      <c r="U10" s="8"/>
      <c r="V10" s="101"/>
    </row>
    <row r="11" spans="2:22" ht="15" x14ac:dyDescent="0.25">
      <c r="B11" s="10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1"/>
      <c r="Q11" s="8"/>
      <c r="S11" s="8"/>
      <c r="T11" s="8"/>
      <c r="U11" s="8"/>
      <c r="V11" s="101"/>
    </row>
    <row r="12" spans="2:22" x14ac:dyDescent="0.3">
      <c r="B12" s="100"/>
      <c r="C12" s="155" t="s">
        <v>54</v>
      </c>
      <c r="D12" s="157" t="s">
        <v>65</v>
      </c>
      <c r="E12" s="167" t="s">
        <v>204</v>
      </c>
      <c r="F12" s="169" t="s">
        <v>200</v>
      </c>
      <c r="G12" s="170"/>
      <c r="H12" s="170"/>
      <c r="I12" s="91"/>
      <c r="J12" s="160" t="s">
        <v>201</v>
      </c>
      <c r="K12" s="160"/>
      <c r="L12" s="160"/>
      <c r="M12" s="165" t="s">
        <v>202</v>
      </c>
      <c r="N12" s="166"/>
      <c r="O12" s="160"/>
      <c r="P12" s="160"/>
      <c r="Q12" s="165" t="s">
        <v>203</v>
      </c>
      <c r="R12" s="166"/>
      <c r="S12" s="160"/>
      <c r="T12" s="160"/>
      <c r="U12" s="161" t="s">
        <v>146</v>
      </c>
      <c r="V12" s="101"/>
    </row>
    <row r="13" spans="2:22" x14ac:dyDescent="0.3">
      <c r="B13" s="100"/>
      <c r="C13" s="156"/>
      <c r="D13" s="156"/>
      <c r="E13" s="168"/>
      <c r="F13" s="68" t="s">
        <v>205</v>
      </c>
      <c r="G13" s="68" t="s">
        <v>45</v>
      </c>
      <c r="H13" s="90" t="s">
        <v>99</v>
      </c>
      <c r="I13" s="79" t="s">
        <v>138</v>
      </c>
      <c r="J13" s="68" t="s">
        <v>205</v>
      </c>
      <c r="K13" s="68" t="s">
        <v>45</v>
      </c>
      <c r="L13" s="69" t="s">
        <v>99</v>
      </c>
      <c r="M13" s="79" t="s">
        <v>138</v>
      </c>
      <c r="N13" s="92" t="s">
        <v>205</v>
      </c>
      <c r="O13" s="68" t="s">
        <v>45</v>
      </c>
      <c r="P13" s="69" t="s">
        <v>99</v>
      </c>
      <c r="Q13" s="79" t="s">
        <v>138</v>
      </c>
      <c r="R13" s="92" t="s">
        <v>205</v>
      </c>
      <c r="S13" s="68" t="s">
        <v>45</v>
      </c>
      <c r="T13" s="69" t="s">
        <v>99</v>
      </c>
      <c r="U13" s="162"/>
      <c r="V13" s="101"/>
    </row>
    <row r="14" spans="2:22" x14ac:dyDescent="0.3">
      <c r="B14" s="100"/>
      <c r="C14" s="164" t="s">
        <v>93</v>
      </c>
      <c r="D14" s="59" t="s">
        <v>68</v>
      </c>
      <c r="E14" s="60"/>
      <c r="F14" s="61">
        <v>1</v>
      </c>
      <c r="G14" s="61">
        <v>1</v>
      </c>
      <c r="H14" s="88">
        <v>1</v>
      </c>
      <c r="I14" s="60">
        <f>K14-J14</f>
        <v>0</v>
      </c>
      <c r="J14" s="61">
        <v>1</v>
      </c>
      <c r="K14" s="61">
        <v>1</v>
      </c>
      <c r="L14" s="61">
        <v>1</v>
      </c>
      <c r="M14" s="60"/>
      <c r="N14" s="93">
        <v>1</v>
      </c>
      <c r="O14" s="61">
        <v>1</v>
      </c>
      <c r="P14" s="61">
        <v>1</v>
      </c>
      <c r="Q14" s="60"/>
      <c r="R14" s="93">
        <v>1</v>
      </c>
      <c r="S14" s="61">
        <v>1</v>
      </c>
      <c r="T14" s="61">
        <v>1</v>
      </c>
      <c r="U14" s="62"/>
      <c r="V14" s="101"/>
    </row>
    <row r="15" spans="2:22" x14ac:dyDescent="0.3">
      <c r="B15" s="100"/>
      <c r="C15" s="164"/>
      <c r="D15" s="59" t="s">
        <v>175</v>
      </c>
      <c r="E15" s="60">
        <v>1</v>
      </c>
      <c r="F15" s="61">
        <v>10</v>
      </c>
      <c r="G15" s="61">
        <v>11</v>
      </c>
      <c r="H15" s="88">
        <v>8</v>
      </c>
      <c r="I15" s="60">
        <f t="shared" ref="I15:I34" si="0">K15-J15</f>
        <v>1</v>
      </c>
      <c r="J15" s="61">
        <v>10</v>
      </c>
      <c r="K15" s="61">
        <v>11</v>
      </c>
      <c r="L15" s="61">
        <v>8</v>
      </c>
      <c r="M15" s="60">
        <v>3</v>
      </c>
      <c r="N15" s="93">
        <v>10</v>
      </c>
      <c r="O15" s="61">
        <v>11</v>
      </c>
      <c r="P15" s="61">
        <v>8</v>
      </c>
      <c r="Q15" s="60">
        <v>3</v>
      </c>
      <c r="R15" s="93">
        <v>10</v>
      </c>
      <c r="S15" s="61">
        <v>11</v>
      </c>
      <c r="T15" s="61">
        <v>8</v>
      </c>
      <c r="U15" s="62">
        <v>3</v>
      </c>
      <c r="V15" s="101"/>
    </row>
    <row r="16" spans="2:22" x14ac:dyDescent="0.3">
      <c r="B16" s="100"/>
      <c r="C16" s="164"/>
      <c r="D16" s="59" t="s">
        <v>70</v>
      </c>
      <c r="E16" s="60">
        <v>1</v>
      </c>
      <c r="F16" s="61"/>
      <c r="G16" s="61">
        <v>1</v>
      </c>
      <c r="H16" s="88">
        <v>1</v>
      </c>
      <c r="I16" s="60">
        <f t="shared" si="0"/>
        <v>1</v>
      </c>
      <c r="J16" s="61"/>
      <c r="K16" s="61">
        <v>1</v>
      </c>
      <c r="L16" s="61">
        <v>1</v>
      </c>
      <c r="M16" s="60"/>
      <c r="N16" s="93"/>
      <c r="O16" s="61">
        <v>1</v>
      </c>
      <c r="P16" s="61">
        <v>1</v>
      </c>
      <c r="Q16" s="60"/>
      <c r="R16" s="93"/>
      <c r="S16" s="61">
        <v>1</v>
      </c>
      <c r="T16" s="61">
        <v>1</v>
      </c>
      <c r="U16" s="62"/>
      <c r="V16" s="101"/>
    </row>
    <row r="17" spans="2:22" x14ac:dyDescent="0.3">
      <c r="B17" s="100"/>
      <c r="C17" s="164" t="s">
        <v>176</v>
      </c>
      <c r="D17" s="59" t="s">
        <v>177</v>
      </c>
      <c r="E17" s="60"/>
      <c r="F17" s="61">
        <v>1</v>
      </c>
      <c r="G17" s="61">
        <v>1</v>
      </c>
      <c r="H17" s="88">
        <v>1</v>
      </c>
      <c r="I17" s="60">
        <f t="shared" si="0"/>
        <v>0</v>
      </c>
      <c r="J17" s="61">
        <v>1</v>
      </c>
      <c r="K17" s="61">
        <v>1</v>
      </c>
      <c r="L17" s="61">
        <v>1</v>
      </c>
      <c r="M17" s="60"/>
      <c r="N17" s="93">
        <v>1</v>
      </c>
      <c r="O17" s="61">
        <v>1</v>
      </c>
      <c r="P17" s="61">
        <v>1</v>
      </c>
      <c r="Q17" s="60"/>
      <c r="R17" s="93">
        <v>1</v>
      </c>
      <c r="S17" s="61">
        <v>1</v>
      </c>
      <c r="T17" s="61">
        <v>1</v>
      </c>
      <c r="U17" s="62"/>
      <c r="V17" s="101"/>
    </row>
    <row r="18" spans="2:22" x14ac:dyDescent="0.3">
      <c r="B18" s="100"/>
      <c r="C18" s="164"/>
      <c r="D18" s="59" t="s">
        <v>72</v>
      </c>
      <c r="E18" s="60">
        <v>2</v>
      </c>
      <c r="F18" s="61"/>
      <c r="G18" s="61">
        <v>2</v>
      </c>
      <c r="H18" s="88">
        <v>2</v>
      </c>
      <c r="I18" s="60">
        <f t="shared" si="0"/>
        <v>2</v>
      </c>
      <c r="J18" s="61"/>
      <c r="K18" s="61">
        <v>2</v>
      </c>
      <c r="L18" s="61">
        <v>2</v>
      </c>
      <c r="M18" s="60"/>
      <c r="N18" s="93"/>
      <c r="O18" s="61">
        <v>2</v>
      </c>
      <c r="P18" s="61">
        <v>2</v>
      </c>
      <c r="Q18" s="60"/>
      <c r="R18" s="93"/>
      <c r="S18" s="61">
        <v>2</v>
      </c>
      <c r="T18" s="61">
        <v>2</v>
      </c>
      <c r="U18" s="62"/>
      <c r="V18" s="101"/>
    </row>
    <row r="19" spans="2:22" x14ac:dyDescent="0.3">
      <c r="B19" s="100"/>
      <c r="C19" s="164" t="s">
        <v>178</v>
      </c>
      <c r="D19" s="59" t="s">
        <v>68</v>
      </c>
      <c r="E19" s="60">
        <v>14</v>
      </c>
      <c r="F19" s="61">
        <v>88</v>
      </c>
      <c r="G19" s="61">
        <v>102</v>
      </c>
      <c r="H19" s="88">
        <v>102</v>
      </c>
      <c r="I19" s="60">
        <f t="shared" si="0"/>
        <v>14</v>
      </c>
      <c r="J19" s="61">
        <v>88</v>
      </c>
      <c r="K19" s="61">
        <v>102</v>
      </c>
      <c r="L19" s="61">
        <v>102</v>
      </c>
      <c r="M19" s="60"/>
      <c r="N19" s="93">
        <v>88</v>
      </c>
      <c r="O19" s="61">
        <v>102</v>
      </c>
      <c r="P19" s="61">
        <v>102</v>
      </c>
      <c r="Q19" s="60"/>
      <c r="R19" s="93">
        <v>88</v>
      </c>
      <c r="S19" s="61">
        <v>102</v>
      </c>
      <c r="T19" s="61">
        <v>102</v>
      </c>
      <c r="U19" s="62"/>
      <c r="V19" s="101"/>
    </row>
    <row r="20" spans="2:22" x14ac:dyDescent="0.3">
      <c r="B20" s="100"/>
      <c r="C20" s="164"/>
      <c r="D20" s="59" t="s">
        <v>144</v>
      </c>
      <c r="E20" s="60"/>
      <c r="F20" s="61">
        <v>6</v>
      </c>
      <c r="G20" s="61">
        <v>6</v>
      </c>
      <c r="H20" s="88">
        <v>6</v>
      </c>
      <c r="I20" s="60">
        <f t="shared" si="0"/>
        <v>0</v>
      </c>
      <c r="J20" s="61">
        <v>6</v>
      </c>
      <c r="K20" s="61">
        <v>6</v>
      </c>
      <c r="L20" s="61">
        <v>6</v>
      </c>
      <c r="M20" s="60"/>
      <c r="N20" s="93">
        <v>6</v>
      </c>
      <c r="O20" s="61">
        <v>6</v>
      </c>
      <c r="P20" s="61">
        <v>6</v>
      </c>
      <c r="Q20" s="60"/>
      <c r="R20" s="93">
        <v>6</v>
      </c>
      <c r="S20" s="61">
        <v>6</v>
      </c>
      <c r="T20" s="61">
        <v>6</v>
      </c>
      <c r="U20" s="62"/>
      <c r="V20" s="101"/>
    </row>
    <row r="21" spans="2:22" x14ac:dyDescent="0.3">
      <c r="B21" s="100"/>
      <c r="C21" s="164"/>
      <c r="D21" s="59" t="s">
        <v>179</v>
      </c>
      <c r="E21" s="60"/>
      <c r="F21" s="61">
        <v>34</v>
      </c>
      <c r="G21" s="61">
        <v>34</v>
      </c>
      <c r="H21" s="88">
        <v>34</v>
      </c>
      <c r="I21" s="60">
        <f t="shared" si="0"/>
        <v>0</v>
      </c>
      <c r="J21" s="61">
        <v>34</v>
      </c>
      <c r="K21" s="61">
        <v>34</v>
      </c>
      <c r="L21" s="61">
        <v>34</v>
      </c>
      <c r="M21" s="60"/>
      <c r="N21" s="93">
        <v>34</v>
      </c>
      <c r="O21" s="61">
        <v>34</v>
      </c>
      <c r="P21" s="61">
        <v>34</v>
      </c>
      <c r="Q21" s="60"/>
      <c r="R21" s="93">
        <v>34</v>
      </c>
      <c r="S21" s="61">
        <v>34</v>
      </c>
      <c r="T21" s="61">
        <v>34</v>
      </c>
      <c r="U21" s="62"/>
      <c r="V21" s="101"/>
    </row>
    <row r="22" spans="2:22" x14ac:dyDescent="0.3">
      <c r="B22" s="100"/>
      <c r="C22" s="164"/>
      <c r="D22" s="59" t="s">
        <v>180</v>
      </c>
      <c r="E22" s="60"/>
      <c r="F22" s="61">
        <v>2</v>
      </c>
      <c r="G22" s="61">
        <v>2</v>
      </c>
      <c r="H22" s="88">
        <v>2</v>
      </c>
      <c r="I22" s="60">
        <f t="shared" si="0"/>
        <v>0</v>
      </c>
      <c r="J22" s="61">
        <v>2</v>
      </c>
      <c r="K22" s="61">
        <v>2</v>
      </c>
      <c r="L22" s="61">
        <v>2</v>
      </c>
      <c r="M22" s="60"/>
      <c r="N22" s="93">
        <v>2</v>
      </c>
      <c r="O22" s="61">
        <v>2</v>
      </c>
      <c r="P22" s="61">
        <v>2</v>
      </c>
      <c r="Q22" s="60"/>
      <c r="R22" s="93">
        <v>2</v>
      </c>
      <c r="S22" s="61">
        <v>2</v>
      </c>
      <c r="T22" s="61">
        <v>2</v>
      </c>
      <c r="U22" s="62"/>
      <c r="V22" s="101"/>
    </row>
    <row r="23" spans="2:22" x14ac:dyDescent="0.3">
      <c r="B23" s="100"/>
      <c r="C23" s="164" t="s">
        <v>181</v>
      </c>
      <c r="D23" s="59" t="s">
        <v>182</v>
      </c>
      <c r="E23" s="60">
        <v>1</v>
      </c>
      <c r="F23" s="61">
        <v>1</v>
      </c>
      <c r="G23" s="61">
        <v>2</v>
      </c>
      <c r="H23" s="88">
        <v>2</v>
      </c>
      <c r="I23" s="60">
        <f t="shared" si="0"/>
        <v>1</v>
      </c>
      <c r="J23" s="61">
        <v>1</v>
      </c>
      <c r="K23" s="61">
        <v>2</v>
      </c>
      <c r="L23" s="61">
        <v>2</v>
      </c>
      <c r="M23" s="60"/>
      <c r="N23" s="93">
        <v>1</v>
      </c>
      <c r="O23" s="61">
        <v>2</v>
      </c>
      <c r="P23" s="61">
        <v>2</v>
      </c>
      <c r="Q23" s="60"/>
      <c r="R23" s="93">
        <v>1</v>
      </c>
      <c r="S23" s="61">
        <v>2</v>
      </c>
      <c r="T23" s="61">
        <v>2</v>
      </c>
      <c r="U23" s="62"/>
      <c r="V23" s="101"/>
    </row>
    <row r="24" spans="2:22" x14ac:dyDescent="0.3">
      <c r="B24" s="100"/>
      <c r="C24" s="164"/>
      <c r="D24" s="59" t="s">
        <v>183</v>
      </c>
      <c r="E24" s="60">
        <v>2</v>
      </c>
      <c r="F24" s="61">
        <v>7</v>
      </c>
      <c r="G24" s="61">
        <v>9</v>
      </c>
      <c r="H24" s="88">
        <v>5</v>
      </c>
      <c r="I24" s="60">
        <f t="shared" si="0"/>
        <v>2</v>
      </c>
      <c r="J24" s="61">
        <v>7</v>
      </c>
      <c r="K24" s="61">
        <v>9</v>
      </c>
      <c r="L24" s="61">
        <v>5</v>
      </c>
      <c r="M24" s="60">
        <v>4</v>
      </c>
      <c r="N24" s="93">
        <v>7</v>
      </c>
      <c r="O24" s="61">
        <v>9</v>
      </c>
      <c r="P24" s="61">
        <v>5</v>
      </c>
      <c r="Q24" s="60">
        <v>4</v>
      </c>
      <c r="R24" s="93">
        <v>7</v>
      </c>
      <c r="S24" s="61">
        <v>9</v>
      </c>
      <c r="T24" s="61">
        <v>5</v>
      </c>
      <c r="U24" s="62">
        <v>4</v>
      </c>
      <c r="V24" s="101"/>
    </row>
    <row r="25" spans="2:22" x14ac:dyDescent="0.3">
      <c r="B25" s="100"/>
      <c r="C25" s="164"/>
      <c r="D25" s="59" t="s">
        <v>184</v>
      </c>
      <c r="E25" s="60"/>
      <c r="F25" s="61">
        <v>1</v>
      </c>
      <c r="G25" s="61">
        <v>1</v>
      </c>
      <c r="H25" s="88">
        <v>1</v>
      </c>
      <c r="I25" s="60">
        <f t="shared" si="0"/>
        <v>0</v>
      </c>
      <c r="J25" s="61">
        <v>1</v>
      </c>
      <c r="K25" s="61">
        <v>1</v>
      </c>
      <c r="L25" s="61">
        <v>1</v>
      </c>
      <c r="M25" s="60"/>
      <c r="N25" s="93">
        <v>1</v>
      </c>
      <c r="O25" s="61">
        <v>1</v>
      </c>
      <c r="P25" s="61">
        <v>1</v>
      </c>
      <c r="Q25" s="60"/>
      <c r="R25" s="93">
        <v>1</v>
      </c>
      <c r="S25" s="61">
        <v>1</v>
      </c>
      <c r="T25" s="61">
        <v>1</v>
      </c>
      <c r="U25" s="62"/>
      <c r="V25" s="101"/>
    </row>
    <row r="26" spans="2:22" x14ac:dyDescent="0.3">
      <c r="B26" s="100"/>
      <c r="C26" s="164"/>
      <c r="D26" s="59" t="s">
        <v>144</v>
      </c>
      <c r="E26" s="60"/>
      <c r="F26" s="61">
        <v>2</v>
      </c>
      <c r="G26" s="61">
        <v>2</v>
      </c>
      <c r="H26" s="88">
        <v>2</v>
      </c>
      <c r="I26" s="60">
        <f t="shared" si="0"/>
        <v>0</v>
      </c>
      <c r="J26" s="61">
        <v>2</v>
      </c>
      <c r="K26" s="61">
        <v>2</v>
      </c>
      <c r="L26" s="61">
        <v>2</v>
      </c>
      <c r="M26" s="60"/>
      <c r="N26" s="93">
        <v>2</v>
      </c>
      <c r="O26" s="61">
        <v>2</v>
      </c>
      <c r="P26" s="61">
        <v>2</v>
      </c>
      <c r="Q26" s="60"/>
      <c r="R26" s="93">
        <v>2</v>
      </c>
      <c r="S26" s="61">
        <v>2</v>
      </c>
      <c r="T26" s="61">
        <v>2</v>
      </c>
      <c r="U26" s="62"/>
      <c r="V26" s="101"/>
    </row>
    <row r="27" spans="2:22" x14ac:dyDescent="0.3">
      <c r="B27" s="100"/>
      <c r="C27" s="164" t="s">
        <v>185</v>
      </c>
      <c r="D27" s="59" t="s">
        <v>186</v>
      </c>
      <c r="E27" s="60"/>
      <c r="F27" s="61">
        <v>2</v>
      </c>
      <c r="G27" s="61">
        <v>2</v>
      </c>
      <c r="H27" s="88">
        <v>1</v>
      </c>
      <c r="I27" s="60">
        <f t="shared" si="0"/>
        <v>0</v>
      </c>
      <c r="J27" s="61">
        <v>2</v>
      </c>
      <c r="K27" s="61">
        <v>2</v>
      </c>
      <c r="L27" s="61">
        <v>1</v>
      </c>
      <c r="M27" s="60">
        <v>1</v>
      </c>
      <c r="N27" s="93">
        <v>2</v>
      </c>
      <c r="O27" s="61">
        <v>2</v>
      </c>
      <c r="P27" s="61">
        <v>1</v>
      </c>
      <c r="Q27" s="60">
        <v>1</v>
      </c>
      <c r="R27" s="93">
        <v>2</v>
      </c>
      <c r="S27" s="61">
        <v>2</v>
      </c>
      <c r="T27" s="61">
        <v>1</v>
      </c>
      <c r="U27" s="62">
        <v>1</v>
      </c>
      <c r="V27" s="101"/>
    </row>
    <row r="28" spans="2:22" x14ac:dyDescent="0.3">
      <c r="B28" s="100"/>
      <c r="C28" s="164"/>
      <c r="D28" s="59" t="s">
        <v>144</v>
      </c>
      <c r="E28" s="60"/>
      <c r="F28" s="61">
        <v>1</v>
      </c>
      <c r="G28" s="61">
        <v>1</v>
      </c>
      <c r="H28" s="88">
        <v>1</v>
      </c>
      <c r="I28" s="60">
        <f t="shared" si="0"/>
        <v>0</v>
      </c>
      <c r="J28" s="61">
        <v>1</v>
      </c>
      <c r="K28" s="61">
        <v>1</v>
      </c>
      <c r="L28" s="61">
        <v>1</v>
      </c>
      <c r="M28" s="60"/>
      <c r="N28" s="93">
        <v>1</v>
      </c>
      <c r="O28" s="61">
        <v>1</v>
      </c>
      <c r="P28" s="61">
        <v>1</v>
      </c>
      <c r="Q28" s="60"/>
      <c r="R28" s="93">
        <v>1</v>
      </c>
      <c r="S28" s="61">
        <v>1</v>
      </c>
      <c r="T28" s="61">
        <v>1</v>
      </c>
      <c r="U28" s="62"/>
      <c r="V28" s="101"/>
    </row>
    <row r="29" spans="2:22" x14ac:dyDescent="0.3">
      <c r="B29" s="100"/>
      <c r="C29" s="86" t="s">
        <v>187</v>
      </c>
      <c r="D29" s="59" t="s">
        <v>188</v>
      </c>
      <c r="E29" s="60"/>
      <c r="F29" s="61">
        <v>2</v>
      </c>
      <c r="G29" s="61">
        <v>2</v>
      </c>
      <c r="H29" s="88">
        <v>2</v>
      </c>
      <c r="I29" s="60">
        <f t="shared" si="0"/>
        <v>0</v>
      </c>
      <c r="J29" s="61">
        <v>2</v>
      </c>
      <c r="K29" s="61">
        <v>2</v>
      </c>
      <c r="L29" s="61">
        <v>2</v>
      </c>
      <c r="M29" s="60"/>
      <c r="N29" s="93">
        <v>2</v>
      </c>
      <c r="O29" s="61">
        <v>2</v>
      </c>
      <c r="P29" s="61">
        <v>2</v>
      </c>
      <c r="Q29" s="60"/>
      <c r="R29" s="93">
        <v>2</v>
      </c>
      <c r="S29" s="61">
        <v>2</v>
      </c>
      <c r="T29" s="61">
        <v>2</v>
      </c>
      <c r="U29" s="62"/>
      <c r="V29" s="101"/>
    </row>
    <row r="30" spans="2:22" x14ac:dyDescent="0.3">
      <c r="B30" s="100"/>
      <c r="C30" s="87" t="s">
        <v>189</v>
      </c>
      <c r="D30" s="59" t="s">
        <v>190</v>
      </c>
      <c r="E30" s="60"/>
      <c r="F30" s="61">
        <v>1</v>
      </c>
      <c r="G30" s="61">
        <v>1</v>
      </c>
      <c r="H30" s="88">
        <v>1</v>
      </c>
      <c r="I30" s="60">
        <f t="shared" si="0"/>
        <v>0</v>
      </c>
      <c r="J30" s="61">
        <v>1</v>
      </c>
      <c r="K30" s="61">
        <v>1</v>
      </c>
      <c r="L30" s="61">
        <v>1</v>
      </c>
      <c r="M30" s="60"/>
      <c r="N30" s="93">
        <v>1</v>
      </c>
      <c r="O30" s="61">
        <v>1</v>
      </c>
      <c r="P30" s="61">
        <v>1</v>
      </c>
      <c r="Q30" s="60"/>
      <c r="R30" s="93">
        <v>1</v>
      </c>
      <c r="S30" s="61">
        <v>1</v>
      </c>
      <c r="T30" s="61">
        <v>1</v>
      </c>
      <c r="U30" s="62"/>
      <c r="V30" s="101"/>
    </row>
    <row r="31" spans="2:22" x14ac:dyDescent="0.3">
      <c r="B31" s="100"/>
      <c r="C31" s="164" t="s">
        <v>191</v>
      </c>
      <c r="D31" s="59" t="s">
        <v>192</v>
      </c>
      <c r="E31" s="60"/>
      <c r="F31" s="61">
        <v>1</v>
      </c>
      <c r="G31" s="61">
        <v>1</v>
      </c>
      <c r="H31" s="88">
        <v>1</v>
      </c>
      <c r="I31" s="60">
        <f t="shared" si="0"/>
        <v>0</v>
      </c>
      <c r="J31" s="61">
        <v>1</v>
      </c>
      <c r="K31" s="61">
        <v>1</v>
      </c>
      <c r="L31" s="61">
        <v>1</v>
      </c>
      <c r="M31" s="60"/>
      <c r="N31" s="93">
        <v>1</v>
      </c>
      <c r="O31" s="61">
        <v>1</v>
      </c>
      <c r="P31" s="61">
        <v>1</v>
      </c>
      <c r="Q31" s="60"/>
      <c r="R31" s="93">
        <v>1</v>
      </c>
      <c r="S31" s="61">
        <v>1</v>
      </c>
      <c r="T31" s="61">
        <v>1</v>
      </c>
      <c r="U31" s="62"/>
      <c r="V31" s="101"/>
    </row>
    <row r="32" spans="2:22" x14ac:dyDescent="0.3">
      <c r="B32" s="100"/>
      <c r="C32" s="164"/>
      <c r="D32" s="59" t="s">
        <v>193</v>
      </c>
      <c r="E32" s="60"/>
      <c r="F32" s="61">
        <v>1</v>
      </c>
      <c r="G32" s="61">
        <v>1</v>
      </c>
      <c r="H32" s="88">
        <v>1</v>
      </c>
      <c r="I32" s="60">
        <f t="shared" si="0"/>
        <v>0</v>
      </c>
      <c r="J32" s="61">
        <v>1</v>
      </c>
      <c r="K32" s="61">
        <v>1</v>
      </c>
      <c r="L32" s="61">
        <v>1</v>
      </c>
      <c r="M32" s="60"/>
      <c r="N32" s="93">
        <v>1</v>
      </c>
      <c r="O32" s="61">
        <v>1</v>
      </c>
      <c r="P32" s="61">
        <v>1</v>
      </c>
      <c r="Q32" s="60"/>
      <c r="R32" s="93">
        <v>1</v>
      </c>
      <c r="S32" s="61">
        <v>1</v>
      </c>
      <c r="T32" s="61">
        <v>1</v>
      </c>
      <c r="U32" s="62"/>
      <c r="V32" s="101"/>
    </row>
    <row r="33" spans="2:22" x14ac:dyDescent="0.3">
      <c r="B33" s="100"/>
      <c r="C33" s="164"/>
      <c r="D33" s="59" t="s">
        <v>68</v>
      </c>
      <c r="E33" s="60"/>
      <c r="F33" s="61">
        <v>1</v>
      </c>
      <c r="G33" s="61">
        <v>1</v>
      </c>
      <c r="H33" s="88">
        <v>1</v>
      </c>
      <c r="I33" s="60">
        <f t="shared" si="0"/>
        <v>0</v>
      </c>
      <c r="J33" s="61">
        <v>1</v>
      </c>
      <c r="K33" s="61">
        <v>1</v>
      </c>
      <c r="L33" s="61">
        <v>1</v>
      </c>
      <c r="M33" s="60"/>
      <c r="N33" s="93">
        <v>1</v>
      </c>
      <c r="O33" s="61">
        <v>1</v>
      </c>
      <c r="P33" s="61">
        <v>1</v>
      </c>
      <c r="Q33" s="80"/>
      <c r="R33" s="95">
        <v>1</v>
      </c>
      <c r="S33" s="81">
        <v>1</v>
      </c>
      <c r="T33" s="81">
        <v>1</v>
      </c>
      <c r="U33" s="82"/>
      <c r="V33" s="101"/>
    </row>
    <row r="34" spans="2:22" x14ac:dyDescent="0.3">
      <c r="B34" s="100"/>
      <c r="C34" s="64" t="s">
        <v>145</v>
      </c>
      <c r="D34" s="64"/>
      <c r="E34" s="65">
        <v>21</v>
      </c>
      <c r="F34" s="66">
        <v>162</v>
      </c>
      <c r="G34" s="66">
        <v>183</v>
      </c>
      <c r="H34" s="89">
        <v>175</v>
      </c>
      <c r="I34" s="89">
        <f t="shared" si="0"/>
        <v>21</v>
      </c>
      <c r="J34" s="66">
        <v>162</v>
      </c>
      <c r="K34" s="66">
        <v>183</v>
      </c>
      <c r="L34" s="66">
        <v>175</v>
      </c>
      <c r="M34" s="65">
        <v>8</v>
      </c>
      <c r="N34" s="94">
        <v>162</v>
      </c>
      <c r="O34" s="66">
        <v>183</v>
      </c>
      <c r="P34" s="66">
        <v>175</v>
      </c>
      <c r="Q34" s="83">
        <v>8</v>
      </c>
      <c r="R34" s="96">
        <v>162</v>
      </c>
      <c r="S34" s="84">
        <v>183</v>
      </c>
      <c r="T34" s="84">
        <v>175</v>
      </c>
      <c r="U34" s="85">
        <v>8</v>
      </c>
      <c r="V34" s="101"/>
    </row>
    <row r="35" spans="2:22" x14ac:dyDescent="0.3">
      <c r="B35" s="102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4"/>
    </row>
    <row r="37" spans="2:22" x14ac:dyDescent="0.3">
      <c r="C37" t="s">
        <v>197</v>
      </c>
    </row>
    <row r="38" spans="2:22" x14ac:dyDescent="0.3">
      <c r="C38" s="2" t="s">
        <v>154</v>
      </c>
      <c r="D38" t="s">
        <v>152</v>
      </c>
    </row>
    <row r="39" spans="2:22" x14ac:dyDescent="0.3">
      <c r="C39" s="2" t="s">
        <v>153</v>
      </c>
    </row>
    <row r="40" spans="2:22" x14ac:dyDescent="0.3">
      <c r="C40" t="s">
        <v>196</v>
      </c>
    </row>
  </sheetData>
  <mergeCells count="17">
    <mergeCell ref="C23:C26"/>
    <mergeCell ref="C27:C28"/>
    <mergeCell ref="C31:C33"/>
    <mergeCell ref="M12:P12"/>
    <mergeCell ref="Q12:T12"/>
    <mergeCell ref="C14:C16"/>
    <mergeCell ref="C12:C13"/>
    <mergeCell ref="D12:D13"/>
    <mergeCell ref="E12:E13"/>
    <mergeCell ref="F12:H12"/>
    <mergeCell ref="J12:L12"/>
    <mergeCell ref="C8:U8"/>
    <mergeCell ref="C3:U3"/>
    <mergeCell ref="S9:U9"/>
    <mergeCell ref="C17:C18"/>
    <mergeCell ref="C19:C22"/>
    <mergeCell ref="U12:U1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Drop Down 1">
              <controlPr defaultSize="0" autoLine="0" autoPict="0">
                <anchor moveWithCells="1">
                  <from>
                    <xdr:col>2</xdr:col>
                    <xdr:colOff>480060</xdr:colOff>
                    <xdr:row>2</xdr:row>
                    <xdr:rowOff>220980</xdr:rowOff>
                  </from>
                  <to>
                    <xdr:col>2</xdr:col>
                    <xdr:colOff>1508760</xdr:colOff>
                    <xdr:row>3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43"/>
  <sheetViews>
    <sheetView showGridLines="0" workbookViewId="0">
      <selection activeCell="T18" sqref="T18"/>
    </sheetView>
  </sheetViews>
  <sheetFormatPr defaultRowHeight="14.4" x14ac:dyDescent="0.3"/>
  <cols>
    <col min="1" max="1" width="2.44140625" customWidth="1"/>
    <col min="2" max="2" width="4.44140625" customWidth="1"/>
    <col min="3" max="3" width="17.88671875" customWidth="1"/>
    <col min="4" max="4" width="23.6640625" bestFit="1" customWidth="1"/>
    <col min="5" max="5" width="8.5546875" bestFit="1" customWidth="1"/>
    <col min="17" max="17" width="13.44140625" bestFit="1" customWidth="1"/>
    <col min="18" max="18" width="2.33203125" customWidth="1"/>
  </cols>
  <sheetData>
    <row r="1" spans="2:18" ht="9" customHeight="1" x14ac:dyDescent="0.25"/>
    <row r="2" spans="2:18" ht="10.5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spans="2:18" ht="18.75" x14ac:dyDescent="0.3">
      <c r="B3" s="7"/>
      <c r="C3" s="109" t="s">
        <v>150</v>
      </c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9"/>
    </row>
    <row r="4" spans="2:18" ht="15" x14ac:dyDescent="0.25">
      <c r="B4" s="7"/>
      <c r="C4" s="8" t="s">
        <v>49</v>
      </c>
      <c r="D4" s="8"/>
      <c r="E4" s="8" t="s">
        <v>130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</row>
    <row r="5" spans="2:18" s="47" customFormat="1" ht="6.75" customHeight="1" x14ac:dyDescent="0.25"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3"/>
    </row>
    <row r="6" spans="2:18" s="47" customFormat="1" ht="15" x14ac:dyDescent="0.25"/>
    <row r="7" spans="2:18" ht="6" customHeight="1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6"/>
    </row>
    <row r="8" spans="2:18" ht="18.75" x14ac:dyDescent="0.3">
      <c r="B8" s="7"/>
      <c r="C8" s="109" t="s">
        <v>125</v>
      </c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9"/>
    </row>
    <row r="9" spans="2:18" ht="6.75" customHeight="1" x14ac:dyDescent="0.25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/>
    </row>
    <row r="10" spans="2:18" ht="15" x14ac:dyDescent="0.25">
      <c r="B10" s="7"/>
      <c r="C10" s="8" t="s">
        <v>147</v>
      </c>
      <c r="D10" s="8" t="s">
        <v>206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11" t="s">
        <v>115</v>
      </c>
      <c r="P10" s="11"/>
      <c r="Q10" s="48">
        <v>43221.666666666664</v>
      </c>
      <c r="R10" s="9"/>
    </row>
    <row r="11" spans="2:18" ht="15" x14ac:dyDescent="0.25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1" t="s">
        <v>116</v>
      </c>
      <c r="P11" s="11"/>
      <c r="Q11" s="49">
        <v>1</v>
      </c>
      <c r="R11" s="9"/>
    </row>
    <row r="12" spans="2:18" ht="15" x14ac:dyDescent="0.25">
      <c r="B12" s="7"/>
      <c r="C12" s="50" t="s">
        <v>148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2:18" x14ac:dyDescent="0.3">
      <c r="B13" s="7"/>
      <c r="C13" s="180" t="s">
        <v>130</v>
      </c>
      <c r="D13" s="180" t="s">
        <v>65</v>
      </c>
      <c r="E13" s="171" t="s">
        <v>132</v>
      </c>
      <c r="F13" s="172"/>
      <c r="G13" s="173"/>
      <c r="H13" s="171" t="s">
        <v>133</v>
      </c>
      <c r="I13" s="172"/>
      <c r="J13" s="173"/>
      <c r="K13" s="171" t="s">
        <v>134</v>
      </c>
      <c r="L13" s="172"/>
      <c r="M13" s="173"/>
      <c r="N13" s="184" t="s">
        <v>135</v>
      </c>
      <c r="O13" s="182"/>
      <c r="P13" s="182"/>
      <c r="Q13" s="182"/>
      <c r="R13" s="9"/>
    </row>
    <row r="14" spans="2:18" ht="28.8" x14ac:dyDescent="0.3">
      <c r="B14" s="7"/>
      <c r="C14" s="181"/>
      <c r="D14" s="181"/>
      <c r="E14" s="38" t="s">
        <v>136</v>
      </c>
      <c r="F14" s="38" t="s">
        <v>137</v>
      </c>
      <c r="G14" s="38" t="s">
        <v>99</v>
      </c>
      <c r="H14" s="38" t="s">
        <v>138</v>
      </c>
      <c r="I14" s="38" t="s">
        <v>137</v>
      </c>
      <c r="J14" s="38" t="s">
        <v>99</v>
      </c>
      <c r="K14" s="38" t="s">
        <v>138</v>
      </c>
      <c r="L14" s="38" t="s">
        <v>137</v>
      </c>
      <c r="M14" s="38" t="s">
        <v>99</v>
      </c>
      <c r="N14" s="38" t="s">
        <v>138</v>
      </c>
      <c r="O14" s="38" t="s">
        <v>137</v>
      </c>
      <c r="P14" s="38" t="s">
        <v>99</v>
      </c>
      <c r="Q14" s="43" t="s">
        <v>146</v>
      </c>
      <c r="R14" s="9"/>
    </row>
    <row r="15" spans="2:18" x14ac:dyDescent="0.3">
      <c r="B15" s="7"/>
      <c r="C15" s="177" t="s">
        <v>139</v>
      </c>
      <c r="D15" s="46" t="s">
        <v>140</v>
      </c>
      <c r="E15" s="44">
        <v>3</v>
      </c>
      <c r="F15" s="40">
        <v>0</v>
      </c>
      <c r="G15" s="40">
        <v>0</v>
      </c>
      <c r="H15" s="40"/>
      <c r="I15" s="40">
        <v>1</v>
      </c>
      <c r="J15" s="40">
        <v>1</v>
      </c>
      <c r="K15" s="40"/>
      <c r="L15" s="40">
        <v>0</v>
      </c>
      <c r="M15" s="40">
        <v>0</v>
      </c>
      <c r="N15" s="40"/>
      <c r="O15" s="40">
        <v>2</v>
      </c>
      <c r="P15" s="40">
        <v>0</v>
      </c>
      <c r="Q15" s="44">
        <v>2</v>
      </c>
      <c r="R15" s="9"/>
    </row>
    <row r="16" spans="2:18" x14ac:dyDescent="0.3">
      <c r="B16" s="7"/>
      <c r="C16" s="178"/>
      <c r="D16" s="46" t="s">
        <v>141</v>
      </c>
      <c r="E16" s="44">
        <v>3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4">
        <v>3</v>
      </c>
      <c r="R16" s="9"/>
    </row>
    <row r="17" spans="2:18" x14ac:dyDescent="0.3">
      <c r="B17" s="7"/>
      <c r="C17" s="179"/>
      <c r="D17" s="46" t="s">
        <v>45</v>
      </c>
      <c r="E17" s="44">
        <f>SUM(E15:E16)</f>
        <v>6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4">
        <f t="shared" ref="Q17" si="0">SUM(Q15:Q16)</f>
        <v>5</v>
      </c>
      <c r="R17" s="9"/>
    </row>
    <row r="18" spans="2:18" x14ac:dyDescent="0.3">
      <c r="B18" s="7"/>
      <c r="C18" s="174" t="s">
        <v>142</v>
      </c>
      <c r="D18" s="46" t="s">
        <v>140</v>
      </c>
      <c r="E18" s="44">
        <v>38</v>
      </c>
      <c r="F18" s="40">
        <v>6</v>
      </c>
      <c r="G18" s="40">
        <v>7</v>
      </c>
      <c r="H18" s="40"/>
      <c r="I18" s="40">
        <v>9</v>
      </c>
      <c r="J18" s="40">
        <v>7</v>
      </c>
      <c r="K18" s="40"/>
      <c r="L18" s="40">
        <v>6</v>
      </c>
      <c r="M18" s="40">
        <v>7</v>
      </c>
      <c r="N18" s="40"/>
      <c r="O18" s="40">
        <v>16</v>
      </c>
      <c r="P18" s="40">
        <v>17</v>
      </c>
      <c r="Q18" s="44">
        <v>0</v>
      </c>
      <c r="R18" s="9"/>
    </row>
    <row r="19" spans="2:18" x14ac:dyDescent="0.3">
      <c r="B19" s="7"/>
      <c r="C19" s="175"/>
      <c r="D19" s="46" t="s">
        <v>141</v>
      </c>
      <c r="E19" s="44">
        <v>38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4">
        <v>0</v>
      </c>
      <c r="R19" s="9"/>
    </row>
    <row r="20" spans="2:18" x14ac:dyDescent="0.3">
      <c r="B20" s="7"/>
      <c r="C20" s="176"/>
      <c r="D20" s="46" t="s">
        <v>45</v>
      </c>
      <c r="E20" s="44">
        <f>SUM(E18:E19)</f>
        <v>76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4">
        <f t="shared" ref="Q20" si="1">SUM(Q18:Q19)</f>
        <v>0</v>
      </c>
      <c r="R20" s="9"/>
    </row>
    <row r="21" spans="2:18" x14ac:dyDescent="0.3">
      <c r="B21" s="7"/>
      <c r="C21" s="177" t="s">
        <v>143</v>
      </c>
      <c r="D21" s="46" t="s">
        <v>140</v>
      </c>
      <c r="E21" s="44">
        <v>9</v>
      </c>
      <c r="F21" s="40">
        <v>4</v>
      </c>
      <c r="G21" s="40">
        <v>5</v>
      </c>
      <c r="H21" s="40"/>
      <c r="I21" s="40">
        <v>1</v>
      </c>
      <c r="J21" s="40">
        <v>1</v>
      </c>
      <c r="K21" s="40"/>
      <c r="L21" s="40">
        <v>3</v>
      </c>
      <c r="M21" s="40">
        <v>3</v>
      </c>
      <c r="N21" s="40"/>
      <c r="O21" s="40">
        <v>0</v>
      </c>
      <c r="P21" s="40">
        <v>0</v>
      </c>
      <c r="Q21" s="44">
        <v>0</v>
      </c>
      <c r="R21" s="9"/>
    </row>
    <row r="22" spans="2:18" x14ac:dyDescent="0.3">
      <c r="B22" s="7"/>
      <c r="C22" s="178"/>
      <c r="D22" s="46" t="s">
        <v>141</v>
      </c>
      <c r="E22" s="44">
        <v>10</v>
      </c>
      <c r="F22" s="40">
        <v>2</v>
      </c>
      <c r="G22" s="40">
        <v>2</v>
      </c>
      <c r="H22" s="40"/>
      <c r="I22" s="40">
        <v>4</v>
      </c>
      <c r="J22" s="40">
        <v>2</v>
      </c>
      <c r="K22" s="40"/>
      <c r="L22" s="40">
        <v>2</v>
      </c>
      <c r="M22" s="40">
        <v>4</v>
      </c>
      <c r="N22" s="40"/>
      <c r="O22" s="40">
        <v>2</v>
      </c>
      <c r="P22" s="40">
        <v>2</v>
      </c>
      <c r="Q22" s="44">
        <v>0</v>
      </c>
      <c r="R22" s="9"/>
    </row>
    <row r="23" spans="2:18" x14ac:dyDescent="0.3">
      <c r="B23" s="7"/>
      <c r="C23" s="179"/>
      <c r="D23" s="46" t="s">
        <v>45</v>
      </c>
      <c r="E23" s="44">
        <v>54</v>
      </c>
      <c r="F23" s="40">
        <v>4</v>
      </c>
      <c r="G23" s="40">
        <v>3</v>
      </c>
      <c r="H23" s="40"/>
      <c r="I23" s="40">
        <v>9</v>
      </c>
      <c r="J23" s="40">
        <v>11</v>
      </c>
      <c r="K23" s="40"/>
      <c r="L23" s="40">
        <v>16</v>
      </c>
      <c r="M23" s="40">
        <v>13</v>
      </c>
      <c r="N23" s="40"/>
      <c r="O23" s="40">
        <v>21</v>
      </c>
      <c r="P23" s="40">
        <v>13</v>
      </c>
      <c r="Q23" s="44">
        <v>14</v>
      </c>
      <c r="R23" s="9"/>
    </row>
    <row r="24" spans="2:18" ht="15" x14ac:dyDescent="0.25">
      <c r="B24" s="7"/>
      <c r="C24" s="42" t="s">
        <v>45</v>
      </c>
      <c r="D24" s="42"/>
      <c r="E24" s="42">
        <f>SUM(E17,E20,E23)</f>
        <v>136</v>
      </c>
      <c r="F24" s="42">
        <f t="shared" ref="F24:Q24" si="2">SUM(F17,F20,F23)</f>
        <v>4</v>
      </c>
      <c r="G24" s="42">
        <f t="shared" si="2"/>
        <v>3</v>
      </c>
      <c r="H24" s="42">
        <f t="shared" si="2"/>
        <v>0</v>
      </c>
      <c r="I24" s="42">
        <f t="shared" si="2"/>
        <v>9</v>
      </c>
      <c r="J24" s="42">
        <f t="shared" si="2"/>
        <v>11</v>
      </c>
      <c r="K24" s="42">
        <f t="shared" si="2"/>
        <v>0</v>
      </c>
      <c r="L24" s="42">
        <f t="shared" si="2"/>
        <v>16</v>
      </c>
      <c r="M24" s="42">
        <f t="shared" si="2"/>
        <v>13</v>
      </c>
      <c r="N24" s="42">
        <f t="shared" si="2"/>
        <v>0</v>
      </c>
      <c r="O24" s="42">
        <f t="shared" si="2"/>
        <v>21</v>
      </c>
      <c r="P24" s="42">
        <f t="shared" si="2"/>
        <v>13</v>
      </c>
      <c r="Q24" s="42">
        <f t="shared" si="2"/>
        <v>19</v>
      </c>
      <c r="R24" s="9"/>
    </row>
    <row r="25" spans="2:18" x14ac:dyDescent="0.3"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2:18" x14ac:dyDescent="0.3">
      <c r="B26" s="7"/>
      <c r="C26" s="50" t="s">
        <v>149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</row>
    <row r="27" spans="2:18" x14ac:dyDescent="0.3">
      <c r="B27" s="7"/>
      <c r="C27" s="180" t="s">
        <v>130</v>
      </c>
      <c r="D27" s="180" t="s">
        <v>131</v>
      </c>
      <c r="E27" s="182" t="s">
        <v>145</v>
      </c>
      <c r="F27" s="182"/>
      <c r="G27" s="182"/>
      <c r="H27" s="183"/>
      <c r="I27" s="8"/>
      <c r="J27" s="8"/>
      <c r="K27" s="8"/>
      <c r="L27" s="8"/>
      <c r="M27" s="8"/>
      <c r="N27" s="8"/>
      <c r="O27" s="8"/>
      <c r="P27" s="8"/>
      <c r="Q27" s="8"/>
      <c r="R27" s="9"/>
    </row>
    <row r="28" spans="2:18" x14ac:dyDescent="0.3">
      <c r="B28" s="7"/>
      <c r="C28" s="181"/>
      <c r="D28" s="181"/>
      <c r="E28" s="43" t="s">
        <v>138</v>
      </c>
      <c r="F28" s="43" t="s">
        <v>137</v>
      </c>
      <c r="G28" s="43" t="s">
        <v>99</v>
      </c>
      <c r="H28" s="43" t="s">
        <v>146</v>
      </c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2:18" x14ac:dyDescent="0.3">
      <c r="B29" s="7"/>
      <c r="C29" s="177" t="s">
        <v>139</v>
      </c>
      <c r="D29" s="39" t="s">
        <v>140</v>
      </c>
      <c r="E29" s="44">
        <v>3</v>
      </c>
      <c r="F29" s="44">
        <v>3</v>
      </c>
      <c r="G29" s="44">
        <v>1</v>
      </c>
      <c r="H29" s="44">
        <v>2</v>
      </c>
      <c r="I29" s="8"/>
      <c r="J29" s="8"/>
      <c r="K29" s="8"/>
      <c r="L29" s="8"/>
      <c r="M29" s="8"/>
      <c r="N29" s="8"/>
      <c r="O29" s="8"/>
      <c r="P29" s="8"/>
      <c r="Q29" s="8"/>
      <c r="R29" s="9"/>
    </row>
    <row r="30" spans="2:18" x14ac:dyDescent="0.3">
      <c r="B30" s="7"/>
      <c r="C30" s="178"/>
      <c r="D30" s="39" t="s">
        <v>141</v>
      </c>
      <c r="E30" s="44">
        <v>3</v>
      </c>
      <c r="F30" s="44">
        <v>3</v>
      </c>
      <c r="G30" s="44">
        <v>3</v>
      </c>
      <c r="H30" s="44">
        <v>3</v>
      </c>
      <c r="I30" s="8"/>
      <c r="J30" s="8"/>
      <c r="K30" s="8"/>
      <c r="L30" s="8"/>
      <c r="M30" s="8"/>
      <c r="N30" s="8"/>
      <c r="O30" s="8"/>
      <c r="P30" s="8"/>
      <c r="Q30" s="8"/>
      <c r="R30" s="9"/>
    </row>
    <row r="31" spans="2:18" x14ac:dyDescent="0.3">
      <c r="B31" s="7"/>
      <c r="C31" s="179"/>
      <c r="D31" s="39" t="s">
        <v>45</v>
      </c>
      <c r="E31" s="44">
        <f>SUM(E29:E30)</f>
        <v>6</v>
      </c>
      <c r="F31" s="44">
        <f t="shared" ref="F31:H31" si="3">SUM(F29:F30)</f>
        <v>6</v>
      </c>
      <c r="G31" s="44">
        <f t="shared" si="3"/>
        <v>4</v>
      </c>
      <c r="H31" s="44">
        <f t="shared" si="3"/>
        <v>5</v>
      </c>
      <c r="I31" s="8"/>
      <c r="J31" s="8"/>
      <c r="K31" s="8"/>
      <c r="L31" s="8"/>
      <c r="M31" s="8"/>
      <c r="N31" s="8"/>
      <c r="O31" s="8"/>
      <c r="P31" s="8"/>
      <c r="Q31" s="8"/>
      <c r="R31" s="9"/>
    </row>
    <row r="32" spans="2:18" x14ac:dyDescent="0.3">
      <c r="B32" s="7"/>
      <c r="C32" s="174" t="s">
        <v>142</v>
      </c>
      <c r="D32" s="39" t="s">
        <v>140</v>
      </c>
      <c r="E32" s="44">
        <v>38</v>
      </c>
      <c r="F32" s="44">
        <v>38</v>
      </c>
      <c r="G32" s="44">
        <v>38</v>
      </c>
      <c r="H32" s="44">
        <v>0</v>
      </c>
      <c r="I32" s="8"/>
      <c r="J32" s="8"/>
      <c r="K32" s="8"/>
      <c r="L32" s="8"/>
      <c r="M32" s="8"/>
      <c r="N32" s="8"/>
      <c r="O32" s="8"/>
      <c r="P32" s="8"/>
      <c r="Q32" s="8"/>
      <c r="R32" s="9"/>
    </row>
    <row r="33" spans="2:18" x14ac:dyDescent="0.3">
      <c r="B33" s="7"/>
      <c r="C33" s="175"/>
      <c r="D33" s="39" t="s">
        <v>141</v>
      </c>
      <c r="E33" s="44">
        <v>38</v>
      </c>
      <c r="F33" s="44">
        <v>38</v>
      </c>
      <c r="G33" s="44">
        <v>38</v>
      </c>
      <c r="H33" s="44">
        <v>0</v>
      </c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2:18" x14ac:dyDescent="0.3">
      <c r="B34" s="7"/>
      <c r="C34" s="176"/>
      <c r="D34" s="41" t="s">
        <v>45</v>
      </c>
      <c r="E34" s="44">
        <f>SUM(E32:E33)</f>
        <v>76</v>
      </c>
      <c r="F34" s="44">
        <f t="shared" ref="F34:H34" si="4">SUM(F32:F33)</f>
        <v>76</v>
      </c>
      <c r="G34" s="44">
        <f t="shared" si="4"/>
        <v>76</v>
      </c>
      <c r="H34" s="44">
        <f t="shared" si="4"/>
        <v>0</v>
      </c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2:18" x14ac:dyDescent="0.3">
      <c r="B35" s="7"/>
      <c r="C35" s="177" t="s">
        <v>143</v>
      </c>
      <c r="D35" s="39" t="s">
        <v>140</v>
      </c>
      <c r="E35" s="44">
        <v>9</v>
      </c>
      <c r="F35" s="44">
        <v>9</v>
      </c>
      <c r="G35" s="44">
        <v>9</v>
      </c>
      <c r="H35" s="44">
        <v>0</v>
      </c>
      <c r="I35" s="8"/>
      <c r="J35" s="8"/>
      <c r="K35" s="8"/>
      <c r="L35" s="8"/>
      <c r="M35" s="8"/>
      <c r="N35" s="8"/>
      <c r="O35" s="8"/>
      <c r="P35" s="8"/>
      <c r="Q35" s="8"/>
      <c r="R35" s="9"/>
    </row>
    <row r="36" spans="2:18" x14ac:dyDescent="0.3">
      <c r="B36" s="7"/>
      <c r="C36" s="178"/>
      <c r="D36" s="39" t="s">
        <v>141</v>
      </c>
      <c r="E36" s="44">
        <v>10</v>
      </c>
      <c r="F36" s="44">
        <v>10</v>
      </c>
      <c r="G36" s="44">
        <v>10</v>
      </c>
      <c r="H36" s="44">
        <v>0</v>
      </c>
      <c r="I36" s="8"/>
      <c r="J36" s="8"/>
      <c r="K36" s="8"/>
      <c r="L36" s="8"/>
      <c r="M36" s="8"/>
      <c r="N36" s="8"/>
      <c r="O36" s="8"/>
      <c r="P36" s="8"/>
      <c r="Q36" s="8"/>
      <c r="R36" s="9"/>
    </row>
    <row r="37" spans="2:18" x14ac:dyDescent="0.3">
      <c r="B37" s="7"/>
      <c r="C37" s="179"/>
      <c r="D37" s="39" t="s">
        <v>45</v>
      </c>
      <c r="E37" s="44">
        <v>54</v>
      </c>
      <c r="F37" s="44">
        <v>54</v>
      </c>
      <c r="G37" s="44">
        <v>40</v>
      </c>
      <c r="H37" s="44">
        <v>14</v>
      </c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2:18" x14ac:dyDescent="0.3">
      <c r="B38" s="7"/>
      <c r="C38" s="42" t="s">
        <v>45</v>
      </c>
      <c r="D38" s="42"/>
      <c r="E38" s="45">
        <f>SUM(E31,E34,E37)</f>
        <v>136</v>
      </c>
      <c r="F38" s="45">
        <f>SUM(F31,F34,F37)</f>
        <v>136</v>
      </c>
      <c r="G38" s="45">
        <f>SUM(G31,G34,G37)</f>
        <v>120</v>
      </c>
      <c r="H38" s="45">
        <f>SUM(H31,H34,H37)</f>
        <v>19</v>
      </c>
      <c r="I38" s="8"/>
      <c r="J38" s="8"/>
      <c r="K38" s="8"/>
      <c r="L38" s="8"/>
      <c r="M38" s="8"/>
      <c r="N38" s="8"/>
      <c r="O38" s="8"/>
      <c r="P38" s="8"/>
      <c r="Q38" s="8"/>
      <c r="R38" s="9"/>
    </row>
    <row r="39" spans="2:18" x14ac:dyDescent="0.3"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5"/>
    </row>
    <row r="41" spans="2:18" x14ac:dyDescent="0.3">
      <c r="B41" t="s">
        <v>151</v>
      </c>
    </row>
    <row r="42" spans="2:18" x14ac:dyDescent="0.3">
      <c r="B42" s="2" t="s">
        <v>154</v>
      </c>
      <c r="C42" t="s">
        <v>152</v>
      </c>
    </row>
    <row r="43" spans="2:18" x14ac:dyDescent="0.3">
      <c r="B43" s="2" t="s">
        <v>153</v>
      </c>
    </row>
  </sheetData>
  <mergeCells count="17">
    <mergeCell ref="C35:C37"/>
    <mergeCell ref="C18:C20"/>
    <mergeCell ref="C21:C23"/>
    <mergeCell ref="C15:C17"/>
    <mergeCell ref="C27:C28"/>
    <mergeCell ref="C29:C31"/>
    <mergeCell ref="H13:J13"/>
    <mergeCell ref="K13:M13"/>
    <mergeCell ref="C8:Q8"/>
    <mergeCell ref="C3:Q3"/>
    <mergeCell ref="C32:C34"/>
    <mergeCell ref="D27:D28"/>
    <mergeCell ref="E27:H27"/>
    <mergeCell ref="N13:Q13"/>
    <mergeCell ref="C13:C14"/>
    <mergeCell ref="D13:D14"/>
    <mergeCell ref="E13:G1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3" r:id="rId3" name="Drop Down 13">
              <controlPr defaultSize="0" autoLine="0" autoPict="0">
                <anchor moveWithCells="1">
                  <from>
                    <xdr:col>2</xdr:col>
                    <xdr:colOff>792480</xdr:colOff>
                    <xdr:row>3</xdr:row>
                    <xdr:rowOff>0</xdr:rowOff>
                  </from>
                  <to>
                    <xdr:col>3</xdr:col>
                    <xdr:colOff>632460</xdr:colOff>
                    <xdr:row>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4" name="Button 14">
              <controlPr defaultSize="0" print="0" autoFill="0" autoPict="0" macro="[0]!Button10_Click">
                <anchor moveWithCells="1" sizeWithCells="1">
                  <from>
                    <xdr:col>15</xdr:col>
                    <xdr:colOff>259080</xdr:colOff>
                    <xdr:row>2</xdr:row>
                    <xdr:rowOff>228600</xdr:rowOff>
                  </from>
                  <to>
                    <xdr:col>16</xdr:col>
                    <xdr:colOff>304800</xdr:colOff>
                    <xdr:row>3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5" name="Drop Down 15">
              <controlPr defaultSize="0" autoLine="0" autoPict="0">
                <anchor moveWithCells="1">
                  <from>
                    <xdr:col>4</xdr:col>
                    <xdr:colOff>792480</xdr:colOff>
                    <xdr:row>3</xdr:row>
                    <xdr:rowOff>0</xdr:rowOff>
                  </from>
                  <to>
                    <xdr:col>6</xdr:col>
                    <xdr:colOff>419100</xdr:colOff>
                    <xdr:row>3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"/>
  <sheetViews>
    <sheetView workbookViewId="0">
      <selection activeCell="G5" sqref="G5"/>
    </sheetView>
  </sheetViews>
  <sheetFormatPr defaultRowHeight="14.4" x14ac:dyDescent="0.3"/>
  <sheetData>
    <row r="2" spans="2:7" x14ac:dyDescent="0.25">
      <c r="B2" t="s">
        <v>0</v>
      </c>
      <c r="C2" t="s">
        <v>2</v>
      </c>
      <c r="G2" t="s">
        <v>51</v>
      </c>
    </row>
    <row r="3" spans="2:7" x14ac:dyDescent="0.25">
      <c r="C3" t="s">
        <v>1</v>
      </c>
      <c r="G3" t="s">
        <v>52</v>
      </c>
    </row>
    <row r="4" spans="2:7" x14ac:dyDescent="0.25">
      <c r="C4" t="s">
        <v>3</v>
      </c>
      <c r="G4" t="s">
        <v>53</v>
      </c>
    </row>
    <row r="7" spans="2:7" x14ac:dyDescent="0.25">
      <c r="C7" s="1">
        <v>42370</v>
      </c>
      <c r="E7" s="1">
        <v>43132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Mon-Qrt-Year Comparison</vt:lpstr>
      <vt:lpstr>Annual Comp Report</vt:lpstr>
      <vt:lpstr>DeptWise Complaint</vt:lpstr>
      <vt:lpstr>ComplaintChannelAnalysis</vt:lpstr>
      <vt:lpstr>Complaint Type Analysis</vt:lpstr>
      <vt:lpstr>Ageing Report</vt:lpstr>
      <vt:lpstr>Closure</vt:lpstr>
      <vt:lpstr>Complaint Summary Dept - ANNUAL</vt:lpstr>
      <vt:lpstr>Qtr Comp Summary</vt:lpstr>
      <vt:lpstr>BODYearly</vt:lpstr>
      <vt:lpstr>Drop Downs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Intisar Ali Zaidi</dc:creator>
  <cp:lastModifiedBy>Hafiz Muhammad Shaukat</cp:lastModifiedBy>
  <dcterms:created xsi:type="dcterms:W3CDTF">2018-05-09T10:45:12Z</dcterms:created>
  <dcterms:modified xsi:type="dcterms:W3CDTF">2018-05-11T13:58:52Z</dcterms:modified>
</cp:coreProperties>
</file>
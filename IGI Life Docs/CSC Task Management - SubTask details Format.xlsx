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XAMMP5\htdocs\igicrm\IGI Life Docs\"/>
    </mc:Choice>
  </mc:AlternateContent>
  <bookViews>
    <workbookView xWindow="0" yWindow="0" windowWidth="20490" windowHeight="7665" activeTab="2"/>
  </bookViews>
  <sheets>
    <sheet name="Report 1" sheetId="3" r:id="rId1"/>
    <sheet name="Sheet1" sheetId="7" r:id="rId2"/>
    <sheet name="Report 2" sheetId="4" r:id="rId3"/>
    <sheet name="Raw Data Required" sheetId="5" r:id="rId4"/>
    <sheet name="Department Wise Report" sheetId="8" r:id="rId5"/>
  </sheets>
  <calcPr calcId="162913"/>
</workbook>
</file>

<file path=xl/calcChain.xml><?xml version="1.0" encoding="utf-8"?>
<calcChain xmlns="http://schemas.openxmlformats.org/spreadsheetml/2006/main">
  <c r="D38" i="4" l="1"/>
  <c r="L4" i="4"/>
  <c r="J5" i="4"/>
  <c r="J4" i="4"/>
  <c r="J36" i="4" l="1"/>
  <c r="G36" i="4"/>
  <c r="I36" i="4" s="1"/>
  <c r="L36" i="4" s="1"/>
  <c r="J35" i="4"/>
  <c r="G35" i="4"/>
  <c r="I35" i="4" s="1"/>
  <c r="L35" i="4" s="1"/>
  <c r="J34" i="4"/>
  <c r="G34" i="4"/>
  <c r="I34" i="4" s="1"/>
  <c r="L34" i="4" s="1"/>
  <c r="D37" i="4"/>
  <c r="E37" i="4"/>
  <c r="F37" i="4"/>
  <c r="H37" i="4"/>
  <c r="J33" i="4"/>
  <c r="G33" i="4"/>
  <c r="I33" i="4" s="1"/>
  <c r="L33" i="4" s="1"/>
  <c r="J32" i="4"/>
  <c r="G32" i="4"/>
  <c r="I32" i="4" s="1"/>
  <c r="L32" i="4" s="1"/>
  <c r="J31" i="4"/>
  <c r="G31" i="4"/>
  <c r="I31" i="4" s="1"/>
  <c r="L31" i="4" s="1"/>
  <c r="J30" i="4"/>
  <c r="G30" i="4"/>
  <c r="I30" i="4" s="1"/>
  <c r="L30" i="4" s="1"/>
  <c r="J29" i="4"/>
  <c r="G29" i="4"/>
  <c r="I29" i="4" s="1"/>
  <c r="L29" i="4" s="1"/>
  <c r="J28" i="4"/>
  <c r="G28" i="4"/>
  <c r="I28" i="4" s="1"/>
  <c r="L28" i="4" s="1"/>
  <c r="J27" i="4"/>
  <c r="G27" i="4"/>
  <c r="I27" i="4" s="1"/>
  <c r="L27" i="4" s="1"/>
  <c r="J26" i="4"/>
  <c r="G26" i="4"/>
  <c r="I26" i="4" s="1"/>
  <c r="L26" i="4" s="1"/>
  <c r="O37" i="4"/>
  <c r="N37" i="4"/>
  <c r="M37" i="4"/>
  <c r="J25" i="4"/>
  <c r="G25" i="4"/>
  <c r="I25" i="4" s="1"/>
  <c r="L25" i="4" s="1"/>
  <c r="J24" i="4"/>
  <c r="G24" i="4"/>
  <c r="I24" i="4" s="1"/>
  <c r="L24" i="4" s="1"/>
  <c r="J23" i="4"/>
  <c r="G23" i="4"/>
  <c r="I23" i="4" s="1"/>
  <c r="L23" i="4" s="1"/>
  <c r="J22" i="4"/>
  <c r="G22" i="4"/>
  <c r="I22" i="4" s="1"/>
  <c r="L22" i="4" s="1"/>
  <c r="J21" i="4"/>
  <c r="G21" i="4"/>
  <c r="I21" i="4" s="1"/>
  <c r="L21" i="4" s="1"/>
  <c r="J20" i="4"/>
  <c r="G20" i="4"/>
  <c r="I20" i="4" s="1"/>
  <c r="L20" i="4" s="1"/>
  <c r="J19" i="4"/>
  <c r="G19" i="4"/>
  <c r="I19" i="4" s="1"/>
  <c r="L19" i="4" s="1"/>
  <c r="J18" i="4"/>
  <c r="G18" i="4"/>
  <c r="I18" i="4" s="1"/>
  <c r="L18" i="4" s="1"/>
  <c r="J17" i="4"/>
  <c r="G17" i="4"/>
  <c r="I17" i="4" s="1"/>
  <c r="L17" i="4" s="1"/>
  <c r="J16" i="4"/>
  <c r="G16" i="4"/>
  <c r="I16" i="4" s="1"/>
  <c r="L16" i="4" s="1"/>
  <c r="J15" i="4"/>
  <c r="G15" i="4"/>
  <c r="I15" i="4" s="1"/>
  <c r="L15" i="4" s="1"/>
  <c r="J14" i="4"/>
  <c r="G14" i="4"/>
  <c r="I14" i="4" s="1"/>
  <c r="L14" i="4" s="1"/>
  <c r="J13" i="4"/>
  <c r="G13" i="4"/>
  <c r="I13" i="4" s="1"/>
  <c r="L13" i="4" s="1"/>
  <c r="J12" i="4"/>
  <c r="G12" i="4"/>
  <c r="I12" i="4" s="1"/>
  <c r="L12" i="4" s="1"/>
  <c r="J11" i="4"/>
  <c r="G11" i="4"/>
  <c r="I11" i="4" s="1"/>
  <c r="L11" i="4" s="1"/>
  <c r="J10" i="4"/>
  <c r="G10" i="4"/>
  <c r="I10" i="4" s="1"/>
  <c r="L10" i="4" s="1"/>
  <c r="J9" i="4"/>
  <c r="G9" i="4"/>
  <c r="I9" i="4" s="1"/>
  <c r="L9" i="4" s="1"/>
  <c r="J8" i="4"/>
  <c r="G8" i="4"/>
  <c r="I8" i="4" s="1"/>
  <c r="L8" i="4" s="1"/>
  <c r="J7" i="4"/>
  <c r="G7" i="4"/>
  <c r="I7" i="4" s="1"/>
  <c r="L7" i="4" s="1"/>
  <c r="J6" i="4"/>
  <c r="G6" i="4"/>
  <c r="I6" i="4" s="1"/>
  <c r="L6" i="4" s="1"/>
  <c r="G5" i="4"/>
  <c r="I5" i="4" s="1"/>
  <c r="L5" i="4" s="1"/>
  <c r="G4" i="4"/>
  <c r="I4" i="4" s="1"/>
  <c r="I37" i="4" l="1"/>
  <c r="J37" i="4"/>
  <c r="G37" i="4"/>
  <c r="L37" i="4"/>
</calcChain>
</file>

<file path=xl/sharedStrings.xml><?xml version="1.0" encoding="utf-8"?>
<sst xmlns="http://schemas.openxmlformats.org/spreadsheetml/2006/main" count="239" uniqueCount="141">
  <si>
    <t>ISM-CSC-001</t>
  </si>
  <si>
    <t>ISM-CSC-002</t>
  </si>
  <si>
    <t>ISM-CSC-003</t>
  </si>
  <si>
    <t>ISM-CSC-004</t>
  </si>
  <si>
    <t>ISM-CSC-005</t>
  </si>
  <si>
    <t>ISM-CSC-006</t>
  </si>
  <si>
    <t>ISM-CSC-015</t>
  </si>
  <si>
    <t>ISM-CSC-013</t>
  </si>
  <si>
    <t>ISM-CSC-014</t>
  </si>
  <si>
    <t>ISM-CSC-007</t>
  </si>
  <si>
    <t>ISM-CSC-010</t>
  </si>
  <si>
    <t>ISM-CSC-011</t>
  </si>
  <si>
    <t>ISM-CSC-012</t>
  </si>
  <si>
    <t>ISM-CSC-016</t>
  </si>
  <si>
    <t>ISM-CSC-SPPM1</t>
  </si>
  <si>
    <t>ISM-CSC-008</t>
  </si>
  <si>
    <t>ISM-CSC-PRO</t>
  </si>
  <si>
    <t>ISM-CSC-RIS</t>
  </si>
  <si>
    <t>ISM-CSC-PDA</t>
  </si>
  <si>
    <t>ISM-CSC-WIC</t>
  </si>
  <si>
    <t>ISM-CSC-OFP</t>
  </si>
  <si>
    <t>ISM-CSC-RC</t>
  </si>
  <si>
    <t>ISM-CSC-RM</t>
  </si>
  <si>
    <t>ADD / CHANGE BENEFICIARY</t>
  </si>
  <si>
    <t>Weightage</t>
  </si>
  <si>
    <t>ADD / DELETE RIDER</t>
  </si>
  <si>
    <t>POLICY STATUS</t>
  </si>
  <si>
    <t>LOAN REQUEST</t>
  </si>
  <si>
    <t>ADD / DELETE BOOSTER</t>
  </si>
  <si>
    <t>SURRENDER &amp; RELEASE</t>
  </si>
  <si>
    <t>NAME CORRECTION / UPDATION</t>
  </si>
  <si>
    <t>FUND TRANSFER</t>
  </si>
  <si>
    <t>INCREASE / REDUCE FACE AMOUNT</t>
  </si>
  <si>
    <t>ISM-CSC-009</t>
  </si>
  <si>
    <t>DUPLICATE POLICY DOCUMENTS REQUESTS</t>
  </si>
  <si>
    <t>MODE OF PAYMENT CHANGE</t>
  </si>
  <si>
    <t>DATE OF BIRTH CHANGE OR UPDATE</t>
  </si>
  <si>
    <t>PARTIAL WITHDRAWAL PAYMENTS</t>
  </si>
  <si>
    <t>POLICY REINSTATEMENTS</t>
  </si>
  <si>
    <t>SURRENDER (SCB)</t>
  </si>
  <si>
    <t>RECEIPT ISSUANCE</t>
  </si>
  <si>
    <t>PROJECTION</t>
  </si>
  <si>
    <t>SURRENDER - BANCA (SCB EXCLUDED)</t>
  </si>
  <si>
    <t>ISM-CSC-SBC</t>
  </si>
  <si>
    <t>POLICY CANCELLED (OFLP)</t>
  </si>
  <si>
    <t>PRREMIUM REFUND (EXCESS)</t>
  </si>
  <si>
    <t>ISM-CSC-PRE</t>
  </si>
  <si>
    <t>PREMIUM DEPOSIT IN ADVANCE</t>
  </si>
  <si>
    <t>PREMIUM DEPOSIT IN ADVANCE (PREMIUM CLEARANCE)</t>
  </si>
  <si>
    <t>ISM-CSC-PDAP</t>
  </si>
  <si>
    <t>MISC CHANGES (Address /Name / Contact / CNIC)</t>
  </si>
  <si>
    <t>AVAP - PREMIUM CLEARANCE</t>
  </si>
  <si>
    <t>ISM-CSC-AVAP</t>
  </si>
  <si>
    <t>RETURNED CHEQUES</t>
  </si>
  <si>
    <t>RETURNED MAILS</t>
  </si>
  <si>
    <t>CUSTOMER - WALK IN</t>
  </si>
  <si>
    <t>SPPM POLICY ISSUANCE</t>
  </si>
  <si>
    <t>REISSUANCE OF CHEQUE</t>
  </si>
  <si>
    <t>ISM-CSC-ROC</t>
  </si>
  <si>
    <t>S.No</t>
  </si>
  <si>
    <t>Rating  Formula = No of Service request received against each ISM's within TAT / Total Service Request Received</t>
  </si>
  <si>
    <t xml:space="preserve">Report Frequency = Daily / Monthly / Quarterly / Yearly </t>
  </si>
  <si>
    <t>Grade = Average = 71% - 79%</t>
  </si>
  <si>
    <t>Grade = Below Average = 70%</t>
  </si>
  <si>
    <t>Grade = Very Good = 80% - 94%</t>
  </si>
  <si>
    <t>Grade = Outstanding = 95% and above</t>
  </si>
  <si>
    <t>Aging</t>
  </si>
  <si>
    <t>TAT - SLA Days (Considering the Processes)</t>
  </si>
  <si>
    <t>Avg. Minutes Per Activity</t>
  </si>
  <si>
    <t>B/F</t>
  </si>
  <si>
    <t>Incoming</t>
  </si>
  <si>
    <t>Total</t>
  </si>
  <si>
    <t>Completed/ Done</t>
  </si>
  <si>
    <t>Pending (C/F)</t>
  </si>
  <si>
    <t xml:space="preserve">Man-hours </t>
  </si>
  <si>
    <t>Pending Days 0-1</t>
  </si>
  <si>
    <t xml:space="preserve">Pending Days 2-3 </t>
  </si>
  <si>
    <t>Pending 4 Above</t>
  </si>
  <si>
    <t xml:space="preserve">             -   </t>
  </si>
  <si>
    <t>Grand Total</t>
  </si>
  <si>
    <t xml:space="preserve">Manpower in working hours includes, given extra time </t>
  </si>
  <si>
    <t>ISM-CSC-ERC</t>
  </si>
  <si>
    <t xml:space="preserve">POLICY ERROR CASE </t>
  </si>
  <si>
    <t>INTERNAL SERVICE MEASURE</t>
  </si>
  <si>
    <t>ISM's</t>
  </si>
  <si>
    <t>PREMIUM CLEARANCE</t>
  </si>
  <si>
    <t>ISM-CSC-PCL</t>
  </si>
  <si>
    <t>ELECTIVE MATURITY PAYMENT</t>
  </si>
  <si>
    <t>ISM-CSC-EMP</t>
  </si>
  <si>
    <t>MATURITY PAYMENT</t>
  </si>
  <si>
    <t>ISM-CSC-MAP</t>
  </si>
  <si>
    <t>Also need the full data in excel so that we can make pivot tables and play with the data</t>
  </si>
  <si>
    <t>Department</t>
  </si>
  <si>
    <t>ISM Codes</t>
  </si>
  <si>
    <t>Ownership</t>
  </si>
  <si>
    <t>Rating</t>
  </si>
  <si>
    <t>Grade</t>
  </si>
  <si>
    <t>Over All Score
Last Month</t>
  </si>
  <si>
    <t>Over All Score
Current Month</t>
  </si>
  <si>
    <t>Over All Grade
Current Month</t>
  </si>
  <si>
    <t>Count of Closed Service Tickets</t>
  </si>
  <si>
    <t>Child ISM</t>
  </si>
  <si>
    <t>OPEN COMPLAINTS</t>
  </si>
  <si>
    <t>Service Quality</t>
  </si>
  <si>
    <t>IT-ADMIN</t>
  </si>
  <si>
    <t>Vitality OPS</t>
  </si>
  <si>
    <t>ADMINISTRATION</t>
  </si>
  <si>
    <t>AGENCY SERVICES (ASD)</t>
  </si>
  <si>
    <t>MARKETING</t>
  </si>
  <si>
    <t>BANC ASSURANCE / TAKAFUL</t>
  </si>
  <si>
    <t>CORPORATE SOLUTIONS</t>
  </si>
  <si>
    <t>GRIEVANCES</t>
  </si>
  <si>
    <t>CEC</t>
  </si>
  <si>
    <t>UNDERWRITING</t>
  </si>
  <si>
    <t>OPERATIONS</t>
  </si>
  <si>
    <t>CLAIMS</t>
  </si>
  <si>
    <t>INFORMATION TECHNOLOGY</t>
  </si>
  <si>
    <t>AGENCY OPERATIONS/SALES</t>
  </si>
  <si>
    <t>FINANCE</t>
  </si>
  <si>
    <t>Above 30 Days</t>
  </si>
  <si>
    <t>16 to 30 Days</t>
  </si>
  <si>
    <t>07 to 15 Days</t>
  </si>
  <si>
    <t>04 to 06 Days</t>
  </si>
  <si>
    <t>0 to 03 Days</t>
  </si>
  <si>
    <t>Overall Percentage</t>
  </si>
  <si>
    <t>Complaints Opened in (Selected Duration)</t>
  </si>
  <si>
    <t>Complaints Closed in (Selected Duration)</t>
  </si>
  <si>
    <t>Complaints logged in (Selected Duration)</t>
  </si>
  <si>
    <t>Department Name</t>
  </si>
  <si>
    <t>Opened Cases Aging in Days</t>
  </si>
  <si>
    <t>Proposed Changes</t>
  </si>
  <si>
    <r>
      <t>Department Name:</t>
    </r>
    <r>
      <rPr>
        <sz val="11"/>
        <color theme="1"/>
        <rFont val="Calibri"/>
        <family val="2"/>
        <scheme val="minor"/>
      </rPr>
      <t xml:space="preserve"> All </t>
    </r>
  </si>
  <si>
    <r>
      <t>Month/Quarter/Year:</t>
    </r>
    <r>
      <rPr>
        <sz val="11"/>
        <color theme="1"/>
        <rFont val="Calibri"/>
        <family val="2"/>
        <scheme val="minor"/>
      </rPr>
      <t xml:space="preserve"> All </t>
    </r>
  </si>
  <si>
    <r>
      <t>Duration Type:</t>
    </r>
    <r>
      <rPr>
        <sz val="11"/>
        <color theme="1"/>
        <rFont val="Calibri"/>
        <family val="2"/>
        <scheme val="minor"/>
      </rPr>
      <t xml:space="preserve"> All </t>
    </r>
  </si>
  <si>
    <r>
      <t>Pages:</t>
    </r>
    <r>
      <rPr>
        <sz val="11"/>
        <color theme="1"/>
        <rFont val="Calibri"/>
        <family val="2"/>
        <scheme val="minor"/>
      </rPr>
      <t xml:space="preserve"> 1</t>
    </r>
  </si>
  <si>
    <r>
      <t>Print Date:</t>
    </r>
    <r>
      <rPr>
        <sz val="11"/>
        <color theme="1"/>
        <rFont val="Calibri"/>
        <family val="2"/>
        <scheme val="minor"/>
      </rPr>
      <t xml:space="preserve"> 2018-08-02 12:54</t>
    </r>
  </si>
  <si>
    <t>Department Wise Complaint Analysis Report</t>
  </si>
  <si>
    <t>june</t>
  </si>
  <si>
    <t>july</t>
  </si>
  <si>
    <t>rating/total ism in department</t>
  </si>
  <si>
    <t>last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</si>
</sst>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[$-409]dd\-mmm\-yy;@"/>
    <numFmt numFmtId="166" formatCode="[$-10409]0.00;\(0.00\)"/>
  </numFmts>
  <fonts count="1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</patternFill>
    </fill>
    <fill>
      <patternFill patternType="solid">
        <fgColor rgb="FFFF0000"/>
        <bgColor indexed="64"/>
      </patternFill>
    </fill>
    <fill>
      <patternFill patternType="solid">
        <fgColor rgb="FF006BB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3">
    <xf numFmtId="0" fontId="0" fillId="0" borderId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5" fontId="2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0" fontId="10" fillId="0" borderId="0" quotePrefix="1">
      <alignment horizontal="justify" vertical="justify" wrapText="1"/>
      <protection hidden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166" fontId="2" fillId="0" borderId="0"/>
    <xf numFmtId="166" fontId="2" fillId="0" borderId="0"/>
    <xf numFmtId="166" fontId="2" fillId="0" borderId="0"/>
    <xf numFmtId="166" fontId="2" fillId="0" borderId="0"/>
    <xf numFmtId="0" fontId="10" fillId="0" borderId="0" quotePrefix="1">
      <alignment horizontal="justify" vertical="justify" wrapText="1"/>
      <protection hidden="1"/>
    </xf>
    <xf numFmtId="0" fontId="10" fillId="0" borderId="0"/>
    <xf numFmtId="165" fontId="2" fillId="0" borderId="0"/>
    <xf numFmtId="0" fontId="10" fillId="0" borderId="0" quotePrefix="1">
      <alignment horizontal="justify" vertical="justify" wrapText="1"/>
      <protection hidden="1"/>
    </xf>
    <xf numFmtId="0" fontId="10" fillId="0" borderId="0"/>
    <xf numFmtId="0" fontId="2" fillId="0" borderId="0"/>
    <xf numFmtId="0" fontId="10" fillId="0" borderId="0" quotePrefix="1">
      <alignment horizontal="justify" vertical="justify" wrapText="1"/>
      <protection hidden="1"/>
    </xf>
    <xf numFmtId="0" fontId="10" fillId="0" borderId="0"/>
    <xf numFmtId="0" fontId="10" fillId="0" borderId="0"/>
    <xf numFmtId="0" fontId="10" fillId="0" borderId="0" quotePrefix="1">
      <alignment horizontal="justify" vertical="justify" wrapText="1"/>
      <protection hidden="1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5" borderId="4" applyNumberFormat="0" applyFont="0" applyAlignment="0" applyProtection="0"/>
    <xf numFmtId="0" fontId="2" fillId="5" borderId="4" applyNumberFormat="0" applyFont="0" applyAlignment="0" applyProtection="0"/>
  </cellStyleXfs>
  <cellXfs count="5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64" fontId="1" fillId="0" borderId="1" xfId="1" applyNumberFormat="1" applyFont="1" applyBorder="1" applyAlignment="1">
      <alignment horizontal="center" vertical="center"/>
    </xf>
    <xf numFmtId="164" fontId="1" fillId="0" borderId="1" xfId="1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5" fontId="5" fillId="3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6" borderId="0" xfId="0" applyFill="1"/>
    <xf numFmtId="10" fontId="0" fillId="0" borderId="5" xfId="0" applyNumberFormat="1" applyBorder="1" applyAlignment="1">
      <alignment wrapText="1"/>
    </xf>
    <xf numFmtId="0" fontId="0" fillId="0" borderId="5" xfId="0" applyBorder="1" applyAlignment="1">
      <alignment wrapText="1"/>
    </xf>
    <xf numFmtId="0" fontId="7" fillId="6" borderId="6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3" fillId="0" borderId="0" xfId="0" applyFont="1" applyAlignment="1">
      <alignment horizontal="right"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15" fontId="5" fillId="3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right" vertical="top" wrapText="1"/>
    </xf>
    <xf numFmtId="0" fontId="8" fillId="6" borderId="0" xfId="0" applyFont="1" applyFill="1" applyAlignment="1">
      <alignment horizontal="center"/>
    </xf>
    <xf numFmtId="1" fontId="5" fillId="4" borderId="7" xfId="0" applyNumberFormat="1" applyFont="1" applyFill="1" applyBorder="1" applyAlignment="1">
      <alignment horizontal="center" vertical="center"/>
    </xf>
    <xf numFmtId="0" fontId="12" fillId="8" borderId="3" xfId="0" applyFont="1" applyFill="1" applyBorder="1" applyAlignment="1">
      <alignment horizontal="left" vertical="center" indent="1"/>
    </xf>
    <xf numFmtId="0" fontId="12" fillId="8" borderId="8" xfId="0" applyFont="1" applyFill="1" applyBorder="1" applyAlignment="1">
      <alignment horizontal="left" vertical="center" indent="1"/>
    </xf>
    <xf numFmtId="0" fontId="12" fillId="8" borderId="9" xfId="0" applyFont="1" applyFill="1" applyBorder="1" applyAlignment="1">
      <alignment horizontal="left" vertical="center" indent="1"/>
    </xf>
    <xf numFmtId="0" fontId="12" fillId="8" borderId="1" xfId="0" applyFont="1" applyFill="1" applyBorder="1" applyAlignment="1">
      <alignment horizontal="left" vertical="center" indent="1"/>
    </xf>
    <xf numFmtId="1" fontId="12" fillId="2" borderId="3" xfId="1" applyNumberFormat="1" applyFont="1" applyFill="1" applyBorder="1" applyAlignment="1">
      <alignment horizontal="center" vertical="center"/>
    </xf>
    <xf numFmtId="1" fontId="12" fillId="2" borderId="8" xfId="1" applyNumberFormat="1" applyFont="1" applyFill="1" applyBorder="1" applyAlignment="1">
      <alignment horizontal="center" vertical="center"/>
    </xf>
    <xf numFmtId="1" fontId="12" fillId="2" borderId="9" xfId="1" applyNumberFormat="1" applyFont="1" applyFill="1" applyBorder="1" applyAlignment="1">
      <alignment horizontal="center" vertical="center"/>
    </xf>
  </cellXfs>
  <cellStyles count="253">
    <cellStyle name="Comma" xfId="1" builtinId="3"/>
    <cellStyle name="Comma 2" xfId="2"/>
    <cellStyle name="Comma 2 2" xfId="3"/>
    <cellStyle name="Comma 2 2 2" xfId="4"/>
    <cellStyle name="Comma 2 3" xfId="5"/>
    <cellStyle name="Comma 3" xfId="6"/>
    <cellStyle name="Comma 3 2" xfId="7"/>
    <cellStyle name="Comma 4" xfId="8"/>
    <cellStyle name="Comma 4 2" xfId="9"/>
    <cellStyle name="Comma 5" xfId="10"/>
    <cellStyle name="Comma 6" xfId="11"/>
    <cellStyle name="Comma 7" xfId="12"/>
    <cellStyle name="Comma 8" xfId="13"/>
    <cellStyle name="Comma 9" xfId="14"/>
    <cellStyle name="Normal" xfId="0" builtinId="0"/>
    <cellStyle name="Normal 10" xfId="15"/>
    <cellStyle name="Normal 11" xfId="16"/>
    <cellStyle name="Normal 11 2" xfId="17"/>
    <cellStyle name="Normal 12" xfId="18"/>
    <cellStyle name="Normal 12 2" xfId="19"/>
    <cellStyle name="Normal 13" xfId="20"/>
    <cellStyle name="Normal 13 2" xfId="21"/>
    <cellStyle name="Normal 14" xfId="22"/>
    <cellStyle name="Normal 14 2" xfId="23"/>
    <cellStyle name="Normal 15" xfId="24"/>
    <cellStyle name="Normal 15 2" xfId="25"/>
    <cellStyle name="Normal 16" xfId="26"/>
    <cellStyle name="Normal 16 2" xfId="27"/>
    <cellStyle name="Normal 17" xfId="28"/>
    <cellStyle name="Normal 17 2" xfId="29"/>
    <cellStyle name="Normal 18" xfId="30"/>
    <cellStyle name="Normal 18 2" xfId="31"/>
    <cellStyle name="Normal 19" xfId="32"/>
    <cellStyle name="Normal 19 2" xfId="33"/>
    <cellStyle name="Normal 2" xfId="34"/>
    <cellStyle name="Normal 2 10" xfId="35"/>
    <cellStyle name="Normal 2 10 2" xfId="36"/>
    <cellStyle name="Normal 2 11" xfId="37"/>
    <cellStyle name="Normal 2 11 2" xfId="38"/>
    <cellStyle name="Normal 2 12" xfId="39"/>
    <cellStyle name="Normal 2 12 2" xfId="40"/>
    <cellStyle name="Normal 2 13" xfId="41"/>
    <cellStyle name="Normal 2 13 2" xfId="42"/>
    <cellStyle name="Normal 2 14" xfId="43"/>
    <cellStyle name="Normal 2 14 2" xfId="44"/>
    <cellStyle name="Normal 2 15" xfId="45"/>
    <cellStyle name="Normal 2 15 2" xfId="46"/>
    <cellStyle name="Normal 2 16" xfId="47"/>
    <cellStyle name="Normal 2 16 2" xfId="48"/>
    <cellStyle name="Normal 2 17" xfId="49"/>
    <cellStyle name="Normal 2 17 2" xfId="50"/>
    <cellStyle name="Normal 2 18" xfId="51"/>
    <cellStyle name="Normal 2 18 2" xfId="52"/>
    <cellStyle name="Normal 2 19" xfId="53"/>
    <cellStyle name="Normal 2 19 2" xfId="54"/>
    <cellStyle name="Normal 2 2" xfId="55"/>
    <cellStyle name="Normal 2 2 2" xfId="56"/>
    <cellStyle name="Normal 2 20" xfId="57"/>
    <cellStyle name="Normal 2 20 2" xfId="58"/>
    <cellStyle name="Normal 2 21" xfId="59"/>
    <cellStyle name="Normal 2 21 2" xfId="60"/>
    <cellStyle name="Normal 2 22" xfId="61"/>
    <cellStyle name="Normal 2 22 2" xfId="62"/>
    <cellStyle name="Normal 2 23" xfId="63"/>
    <cellStyle name="Normal 2 23 2" xfId="64"/>
    <cellStyle name="Normal 2 24" xfId="65"/>
    <cellStyle name="Normal 2 24 2" xfId="66"/>
    <cellStyle name="Normal 2 25" xfId="67"/>
    <cellStyle name="Normal 2 25 2" xfId="68"/>
    <cellStyle name="Normal 2 26" xfId="69"/>
    <cellStyle name="Normal 2 26 2" xfId="70"/>
    <cellStyle name="Normal 2 27" xfId="71"/>
    <cellStyle name="Normal 2 27 2" xfId="72"/>
    <cellStyle name="Normal 2 28" xfId="73"/>
    <cellStyle name="Normal 2 28 2" xfId="74"/>
    <cellStyle name="Normal 2 29" xfId="75"/>
    <cellStyle name="Normal 2 29 2" xfId="76"/>
    <cellStyle name="Normal 2 3" xfId="77"/>
    <cellStyle name="Normal 2 3 2" xfId="78"/>
    <cellStyle name="Normal 2 30" xfId="79"/>
    <cellStyle name="Normal 2 30 2" xfId="80"/>
    <cellStyle name="Normal 2 31" xfId="81"/>
    <cellStyle name="Normal 2 31 2" xfId="82"/>
    <cellStyle name="Normal 2 32" xfId="83"/>
    <cellStyle name="Normal 2 32 2" xfId="84"/>
    <cellStyle name="Normal 2 33" xfId="85"/>
    <cellStyle name="Normal 2 33 2" xfId="86"/>
    <cellStyle name="Normal 2 34" xfId="87"/>
    <cellStyle name="Normal 2 34 2" xfId="88"/>
    <cellStyle name="Normal 2 35" xfId="89"/>
    <cellStyle name="Normal 2 35 2" xfId="90"/>
    <cellStyle name="Normal 2 36" xfId="91"/>
    <cellStyle name="Normal 2 36 2" xfId="92"/>
    <cellStyle name="Normal 2 37" xfId="93"/>
    <cellStyle name="Normal 2 37 2" xfId="94"/>
    <cellStyle name="Normal 2 38" xfId="95"/>
    <cellStyle name="Normal 2 38 2" xfId="96"/>
    <cellStyle name="Normal 2 39" xfId="97"/>
    <cellStyle name="Normal 2 39 2" xfId="98"/>
    <cellStyle name="Normal 2 4" xfId="99"/>
    <cellStyle name="Normal 2 4 2" xfId="100"/>
    <cellStyle name="Normal 2 40" xfId="101"/>
    <cellStyle name="Normal 2 40 2" xfId="102"/>
    <cellStyle name="Normal 2 41" xfId="103"/>
    <cellStyle name="Normal 2 41 2" xfId="104"/>
    <cellStyle name="Normal 2 42" xfId="105"/>
    <cellStyle name="Normal 2 42 2" xfId="106"/>
    <cellStyle name="Normal 2 43" xfId="107"/>
    <cellStyle name="Normal 2 43 2" xfId="108"/>
    <cellStyle name="Normal 2 44" xfId="109"/>
    <cellStyle name="Normal 2 44 2" xfId="110"/>
    <cellStyle name="Normal 2 45" xfId="111"/>
    <cellStyle name="Normal 2 45 2" xfId="112"/>
    <cellStyle name="Normal 2 46" xfId="113"/>
    <cellStyle name="Normal 2 46 2" xfId="114"/>
    <cellStyle name="Normal 2 47" xfId="115"/>
    <cellStyle name="Normal 2 47 2" xfId="116"/>
    <cellStyle name="Normal 2 48" xfId="117"/>
    <cellStyle name="Normal 2 5" xfId="118"/>
    <cellStyle name="Normal 2 5 2" xfId="119"/>
    <cellStyle name="Normal 2 6" xfId="120"/>
    <cellStyle name="Normal 2 6 2" xfId="121"/>
    <cellStyle name="Normal 2 7" xfId="122"/>
    <cellStyle name="Normal 2 7 2" xfId="123"/>
    <cellStyle name="Normal 2 8" xfId="124"/>
    <cellStyle name="Normal 2 8 2" xfId="125"/>
    <cellStyle name="Normal 2 9" xfId="126"/>
    <cellStyle name="Normal 2 9 2" xfId="127"/>
    <cellStyle name="Normal 20" xfId="128"/>
    <cellStyle name="Normal 20 2" xfId="129"/>
    <cellStyle name="Normal 21" xfId="130"/>
    <cellStyle name="Normal 21 2" xfId="131"/>
    <cellStyle name="Normal 22" xfId="132"/>
    <cellStyle name="Normal 22 2" xfId="133"/>
    <cellStyle name="Normal 23" xfId="134"/>
    <cellStyle name="Normal 24" xfId="135"/>
    <cellStyle name="Normal 25" xfId="136"/>
    <cellStyle name="Normal 26" xfId="137"/>
    <cellStyle name="Normal 3" xfId="138"/>
    <cellStyle name="Normal 3 10" xfId="139"/>
    <cellStyle name="Normal 3 10 2" xfId="140"/>
    <cellStyle name="Normal 3 11" xfId="141"/>
    <cellStyle name="Normal 3 11 2" xfId="142"/>
    <cellStyle name="Normal 3 12" xfId="143"/>
    <cellStyle name="Normal 3 12 2" xfId="144"/>
    <cellStyle name="Normal 3 13" xfId="145"/>
    <cellStyle name="Normal 3 13 2" xfId="146"/>
    <cellStyle name="Normal 3 14" xfId="147"/>
    <cellStyle name="Normal 3 14 2" xfId="148"/>
    <cellStyle name="Normal 3 15" xfId="149"/>
    <cellStyle name="Normal 3 15 2" xfId="150"/>
    <cellStyle name="Normal 3 16" xfId="151"/>
    <cellStyle name="Normal 3 16 2" xfId="152"/>
    <cellStyle name="Normal 3 17" xfId="153"/>
    <cellStyle name="Normal 3 17 2" xfId="154"/>
    <cellStyle name="Normal 3 18" xfId="155"/>
    <cellStyle name="Normal 3 18 2" xfId="156"/>
    <cellStyle name="Normal 3 19" xfId="157"/>
    <cellStyle name="Normal 3 19 2" xfId="158"/>
    <cellStyle name="Normal 3 2" xfId="159"/>
    <cellStyle name="Normal 3 2 2" xfId="160"/>
    <cellStyle name="Normal 3 20" xfId="161"/>
    <cellStyle name="Normal 3 20 2" xfId="162"/>
    <cellStyle name="Normal 3 21" xfId="163"/>
    <cellStyle name="Normal 3 21 2" xfId="164"/>
    <cellStyle name="Normal 3 22" xfId="165"/>
    <cellStyle name="Normal 3 22 2" xfId="166"/>
    <cellStyle name="Normal 3 23" xfId="167"/>
    <cellStyle name="Normal 3 23 2" xfId="168"/>
    <cellStyle name="Normal 3 24" xfId="169"/>
    <cellStyle name="Normal 3 24 2" xfId="170"/>
    <cellStyle name="Normal 3 25" xfId="171"/>
    <cellStyle name="Normal 3 25 2" xfId="172"/>
    <cellStyle name="Normal 3 26" xfId="173"/>
    <cellStyle name="Normal 3 26 2" xfId="174"/>
    <cellStyle name="Normal 3 27" xfId="175"/>
    <cellStyle name="Normal 3 27 2" xfId="176"/>
    <cellStyle name="Normal 3 28" xfId="177"/>
    <cellStyle name="Normal 3 28 2" xfId="178"/>
    <cellStyle name="Normal 3 29" xfId="179"/>
    <cellStyle name="Normal 3 29 2" xfId="180"/>
    <cellStyle name="Normal 3 3" xfId="181"/>
    <cellStyle name="Normal 3 3 2" xfId="182"/>
    <cellStyle name="Normal 3 30" xfId="183"/>
    <cellStyle name="Normal 3 30 2" xfId="184"/>
    <cellStyle name="Normal 3 31" xfId="185"/>
    <cellStyle name="Normal 3 31 2" xfId="186"/>
    <cellStyle name="Normal 3 32" xfId="187"/>
    <cellStyle name="Normal 3 32 2" xfId="188"/>
    <cellStyle name="Normal 3 33" xfId="189"/>
    <cellStyle name="Normal 3 33 2" xfId="190"/>
    <cellStyle name="Normal 3 34" xfId="191"/>
    <cellStyle name="Normal 3 34 2" xfId="192"/>
    <cellStyle name="Normal 3 35" xfId="193"/>
    <cellStyle name="Normal 3 35 2" xfId="194"/>
    <cellStyle name="Normal 3 36" xfId="195"/>
    <cellStyle name="Normal 3 36 2" xfId="196"/>
    <cellStyle name="Normal 3 37" xfId="197"/>
    <cellStyle name="Normal 3 37 2" xfId="198"/>
    <cellStyle name="Normal 3 38" xfId="199"/>
    <cellStyle name="Normal 3 38 2" xfId="200"/>
    <cellStyle name="Normal 3 39" xfId="201"/>
    <cellStyle name="Normal 3 39 2" xfId="202"/>
    <cellStyle name="Normal 3 4" xfId="203"/>
    <cellStyle name="Normal 3 4 2" xfId="204"/>
    <cellStyle name="Normal 3 40" xfId="205"/>
    <cellStyle name="Normal 3 40 2" xfId="206"/>
    <cellStyle name="Normal 3 41" xfId="207"/>
    <cellStyle name="Normal 3 41 2" xfId="208"/>
    <cellStyle name="Normal 3 42" xfId="209"/>
    <cellStyle name="Normal 3 42 2" xfId="210"/>
    <cellStyle name="Normal 3 43" xfId="211"/>
    <cellStyle name="Normal 3 43 2" xfId="212"/>
    <cellStyle name="Normal 3 44" xfId="213"/>
    <cellStyle name="Normal 3 44 2" xfId="214"/>
    <cellStyle name="Normal 3 45" xfId="215"/>
    <cellStyle name="Normal 3 45 2" xfId="216"/>
    <cellStyle name="Normal 3 46" xfId="217"/>
    <cellStyle name="Normal 3 46 2" xfId="218"/>
    <cellStyle name="Normal 3 47" xfId="219"/>
    <cellStyle name="Normal 3 47 2" xfId="220"/>
    <cellStyle name="Normal 3 5" xfId="221"/>
    <cellStyle name="Normal 3 5 2" xfId="222"/>
    <cellStyle name="Normal 3 6" xfId="223"/>
    <cellStyle name="Normal 3 6 2" xfId="224"/>
    <cellStyle name="Normal 3 7" xfId="225"/>
    <cellStyle name="Normal 3 7 2" xfId="226"/>
    <cellStyle name="Normal 3 8" xfId="227"/>
    <cellStyle name="Normal 3 8 2" xfId="228"/>
    <cellStyle name="Normal 3 9" xfId="229"/>
    <cellStyle name="Normal 3 9 2" xfId="230"/>
    <cellStyle name="Normal 31" xfId="231"/>
    <cellStyle name="Normal 32" xfId="232"/>
    <cellStyle name="Normal 33" xfId="233"/>
    <cellStyle name="Normal 34" xfId="234"/>
    <cellStyle name="Normal 4" xfId="235"/>
    <cellStyle name="Normal 4 2" xfId="236"/>
    <cellStyle name="Normal 4 3" xfId="237"/>
    <cellStyle name="Normal 5" xfId="238"/>
    <cellStyle name="Normal 5 2" xfId="239"/>
    <cellStyle name="Normal 5 3" xfId="240"/>
    <cellStyle name="Normal 6" xfId="241"/>
    <cellStyle name="Normal 6 2" xfId="242"/>
    <cellStyle name="Normal 6 3" xfId="243"/>
    <cellStyle name="Normal 7" xfId="244"/>
    <cellStyle name="Normal 7 2" xfId="245"/>
    <cellStyle name="Normal 7 3" xfId="246"/>
    <cellStyle name="Normal 8" xfId="247"/>
    <cellStyle name="Normal 8 2" xfId="248"/>
    <cellStyle name="Normal 9" xfId="249"/>
    <cellStyle name="Normal 9 2" xfId="250"/>
    <cellStyle name="Note 2" xfId="251"/>
    <cellStyle name="Note 2 2" xfId="25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https://sns.m3tech.com.pk/igicrm/assets/img/IGI-32x32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1</xdr:row>
      <xdr:rowOff>28575</xdr:rowOff>
    </xdr:from>
    <xdr:to>
      <xdr:col>13</xdr:col>
      <xdr:colOff>342900</xdr:colOff>
      <xdr:row>19</xdr:row>
      <xdr:rowOff>76200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4925" y="219075"/>
          <a:ext cx="7029450" cy="3476625"/>
        </a:xfrm>
        <a:prstGeom prst="rect">
          <a:avLst/>
        </a:prstGeom>
        <a:ln w="3175"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304800</xdr:colOff>
      <xdr:row>1</xdr:row>
      <xdr:rowOff>95250</xdr:rowOff>
    </xdr:to>
    <xdr:pic>
      <xdr:nvPicPr>
        <xdr:cNvPr id="2" name="Picture 1" descr="https://sns.m3tech.com.pk/igicrm/assets/img/IGI-32x32.pn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048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7"/>
  <sheetViews>
    <sheetView showGridLines="0" topLeftCell="A19" zoomScale="130" zoomScaleNormal="130" workbookViewId="0">
      <selection activeCell="O22" sqref="O22:O26"/>
    </sheetView>
  </sheetViews>
  <sheetFormatPr defaultRowHeight="15" x14ac:dyDescent="0.25"/>
  <cols>
    <col min="3" max="3" width="10.140625" bestFit="1" customWidth="1"/>
  </cols>
  <sheetData>
    <row r="3" spans="1:2" x14ac:dyDescent="0.25">
      <c r="A3" t="s">
        <v>137</v>
      </c>
      <c r="B3">
        <v>90</v>
      </c>
    </row>
    <row r="4" spans="1:2" x14ac:dyDescent="0.25">
      <c r="A4" t="s">
        <v>138</v>
      </c>
      <c r="B4">
        <v>95</v>
      </c>
    </row>
    <row r="5" spans="1:2" x14ac:dyDescent="0.25">
      <c r="A5" t="s">
        <v>139</v>
      </c>
    </row>
    <row r="8" spans="1:2" x14ac:dyDescent="0.25">
      <c r="A8" t="s">
        <v>140</v>
      </c>
    </row>
    <row r="22" spans="4:4" x14ac:dyDescent="0.25">
      <c r="D22" t="s">
        <v>60</v>
      </c>
    </row>
    <row r="23" spans="4:4" x14ac:dyDescent="0.25">
      <c r="D23" t="s">
        <v>61</v>
      </c>
    </row>
    <row r="24" spans="4:4" x14ac:dyDescent="0.25">
      <c r="D24" t="s">
        <v>65</v>
      </c>
    </row>
    <row r="25" spans="4:4" x14ac:dyDescent="0.25">
      <c r="D25" t="s">
        <v>64</v>
      </c>
    </row>
    <row r="26" spans="4:4" x14ac:dyDescent="0.25">
      <c r="D26" t="s">
        <v>62</v>
      </c>
    </row>
    <row r="27" spans="4:4" x14ac:dyDescent="0.25">
      <c r="D27" t="s">
        <v>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5"/>
  <sheetViews>
    <sheetView workbookViewId="0">
      <selection activeCell="I1" sqref="I1"/>
    </sheetView>
  </sheetViews>
  <sheetFormatPr defaultColWidth="9" defaultRowHeight="15" x14ac:dyDescent="0.25"/>
  <cols>
    <col min="1" max="1" width="4.42578125" style="24" bestFit="1" customWidth="1"/>
    <col min="2" max="2" width="10" style="24" bestFit="1" customWidth="1"/>
    <col min="3" max="3" width="11" style="24" bestFit="1" customWidth="1"/>
    <col min="4" max="4" width="21.140625" style="24" customWidth="1"/>
    <col min="5" max="5" width="10.7109375" style="24" bestFit="1" customWidth="1"/>
    <col min="6" max="6" width="10.5703125" style="24" bestFit="1" customWidth="1"/>
    <col min="7" max="7" width="5.5703125" style="24" bestFit="1" customWidth="1"/>
    <col min="8" max="8" width="7.28515625" style="24" customWidth="1"/>
    <col min="9" max="9" width="30.42578125" style="24" customWidth="1"/>
    <col min="10" max="10" width="27.85546875" style="24" customWidth="1"/>
    <col min="11" max="11" width="11.5703125" style="24" customWidth="1"/>
    <col min="12" max="12" width="12.7109375" style="24" customWidth="1"/>
    <col min="13" max="16384" width="9" style="24"/>
  </cols>
  <sheetData>
    <row r="1" spans="1:17" s="25" customFormat="1" ht="60" x14ac:dyDescent="0.25">
      <c r="A1" s="25" t="s">
        <v>59</v>
      </c>
      <c r="B1" s="25" t="s">
        <v>92</v>
      </c>
      <c r="C1" s="25" t="s">
        <v>93</v>
      </c>
      <c r="D1" s="25" t="s">
        <v>84</v>
      </c>
      <c r="E1" s="25" t="s">
        <v>94</v>
      </c>
      <c r="F1" s="25" t="s">
        <v>24</v>
      </c>
      <c r="G1" s="25" t="s">
        <v>95</v>
      </c>
      <c r="H1" s="25" t="s">
        <v>96</v>
      </c>
      <c r="I1" s="26" t="s">
        <v>100</v>
      </c>
      <c r="J1" s="26" t="s">
        <v>97</v>
      </c>
      <c r="K1" s="26" t="s">
        <v>98</v>
      </c>
      <c r="L1" s="26" t="s">
        <v>99</v>
      </c>
      <c r="M1" s="25" t="s">
        <v>101</v>
      </c>
      <c r="N1" s="25" t="s">
        <v>101</v>
      </c>
      <c r="O1" s="25" t="s">
        <v>101</v>
      </c>
      <c r="P1" s="25" t="s">
        <v>101</v>
      </c>
      <c r="Q1" s="25" t="s">
        <v>101</v>
      </c>
    </row>
    <row r="2" spans="1:17" x14ac:dyDescent="0.25">
      <c r="C2" s="24" t="s">
        <v>0</v>
      </c>
    </row>
    <row r="3" spans="1:17" x14ac:dyDescent="0.25">
      <c r="C3" s="24" t="s">
        <v>1</v>
      </c>
    </row>
    <row r="4" spans="1:17" x14ac:dyDescent="0.25">
      <c r="C4" s="24" t="s">
        <v>2</v>
      </c>
    </row>
    <row r="5" spans="1:17" x14ac:dyDescent="0.25">
      <c r="C5" s="24" t="s">
        <v>3</v>
      </c>
    </row>
    <row r="6" spans="1:17" x14ac:dyDescent="0.25">
      <c r="C6" s="24" t="s">
        <v>4</v>
      </c>
    </row>
    <row r="7" spans="1:17" x14ac:dyDescent="0.25">
      <c r="C7" s="24" t="s">
        <v>5</v>
      </c>
    </row>
    <row r="8" spans="1:17" x14ac:dyDescent="0.25">
      <c r="C8" s="24" t="s">
        <v>9</v>
      </c>
    </row>
    <row r="9" spans="1:17" x14ac:dyDescent="0.25">
      <c r="C9" s="24" t="s">
        <v>15</v>
      </c>
    </row>
    <row r="10" spans="1:17" x14ac:dyDescent="0.25">
      <c r="C10" s="24" t="s">
        <v>33</v>
      </c>
    </row>
    <row r="11" spans="1:17" x14ac:dyDescent="0.25">
      <c r="C11" s="24" t="s">
        <v>10</v>
      </c>
    </row>
    <row r="12" spans="1:17" x14ac:dyDescent="0.25">
      <c r="C12" s="24" t="s">
        <v>11</v>
      </c>
    </row>
    <row r="13" spans="1:17" x14ac:dyDescent="0.25">
      <c r="C13" s="24" t="s">
        <v>12</v>
      </c>
    </row>
    <row r="14" spans="1:17" x14ac:dyDescent="0.25">
      <c r="C14" s="24" t="s">
        <v>7</v>
      </c>
    </row>
    <row r="15" spans="1:17" x14ac:dyDescent="0.25">
      <c r="C15" s="24" t="s">
        <v>8</v>
      </c>
    </row>
    <row r="16" spans="1:17" x14ac:dyDescent="0.25">
      <c r="C16" s="24" t="s">
        <v>6</v>
      </c>
    </row>
    <row r="17" spans="3:4" x14ac:dyDescent="0.25">
      <c r="C17" s="24" t="s">
        <v>13</v>
      </c>
    </row>
    <row r="20" spans="3:4" x14ac:dyDescent="0.25">
      <c r="D20" t="s">
        <v>60</v>
      </c>
    </row>
    <row r="21" spans="3:4" x14ac:dyDescent="0.25">
      <c r="D21" t="s">
        <v>61</v>
      </c>
    </row>
    <row r="22" spans="3:4" x14ac:dyDescent="0.25">
      <c r="D22" t="s">
        <v>65</v>
      </c>
    </row>
    <row r="23" spans="3:4" x14ac:dyDescent="0.25">
      <c r="D23" t="s">
        <v>64</v>
      </c>
    </row>
    <row r="24" spans="3:4" x14ac:dyDescent="0.25">
      <c r="D24" t="s">
        <v>62</v>
      </c>
    </row>
    <row r="25" spans="3:4" x14ac:dyDescent="0.25">
      <c r="D25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8"/>
  <sheetViews>
    <sheetView tabSelected="1" topLeftCell="A25" workbookViewId="0">
      <selection activeCell="G45" sqref="G45"/>
    </sheetView>
  </sheetViews>
  <sheetFormatPr defaultRowHeight="15" x14ac:dyDescent="0.25"/>
  <cols>
    <col min="1" max="1" width="51.5703125" bestFit="1" customWidth="1"/>
    <col min="2" max="2" width="15.140625" bestFit="1" customWidth="1"/>
    <col min="3" max="3" width="15.42578125" customWidth="1"/>
    <col min="4" max="4" width="8.5703125" bestFit="1" customWidth="1"/>
    <col min="5" max="5" width="4.5703125" bestFit="1" customWidth="1"/>
    <col min="6" max="6" width="9.28515625" bestFit="1" customWidth="1"/>
    <col min="7" max="7" width="5.5703125" bestFit="1" customWidth="1"/>
    <col min="8" max="8" width="8.7109375" bestFit="1" customWidth="1"/>
    <col min="9" max="9" width="8.42578125" bestFit="1" customWidth="1"/>
    <col min="10" max="10" width="12.7109375" bestFit="1" customWidth="1"/>
    <col min="11" max="11" width="3.28515625" customWidth="1"/>
    <col min="12" max="12" width="8.5703125" bestFit="1" customWidth="1"/>
    <col min="13" max="14" width="10" bestFit="1" customWidth="1"/>
    <col min="15" max="15" width="8.28515625" bestFit="1" customWidth="1"/>
  </cols>
  <sheetData>
    <row r="1" spans="1:15" x14ac:dyDescent="0.25">
      <c r="L1" s="38" t="s">
        <v>102</v>
      </c>
      <c r="M1" s="38"/>
      <c r="N1" s="38"/>
      <c r="O1" s="38"/>
    </row>
    <row r="2" spans="1:15" ht="18.75" x14ac:dyDescent="0.25">
      <c r="D2" s="39"/>
      <c r="E2" s="39"/>
      <c r="F2" s="39"/>
      <c r="G2" s="39"/>
      <c r="H2" s="39"/>
      <c r="I2" s="39"/>
      <c r="J2" s="23">
        <v>43236</v>
      </c>
      <c r="L2" s="40">
        <v>43236</v>
      </c>
      <c r="M2" s="40"/>
      <c r="N2" s="41" t="s">
        <v>66</v>
      </c>
      <c r="O2" s="41"/>
    </row>
    <row r="3" spans="1:15" ht="60" x14ac:dyDescent="0.25">
      <c r="A3" s="17" t="s">
        <v>83</v>
      </c>
      <c r="B3" s="17" t="s">
        <v>84</v>
      </c>
      <c r="C3" s="10" t="s">
        <v>67</v>
      </c>
      <c r="D3" s="10" t="s">
        <v>68</v>
      </c>
      <c r="E3" s="11" t="s">
        <v>69</v>
      </c>
      <c r="F3" s="10" t="s">
        <v>70</v>
      </c>
      <c r="G3" s="10" t="s">
        <v>71</v>
      </c>
      <c r="H3" s="10" t="s">
        <v>72</v>
      </c>
      <c r="I3" s="11" t="s">
        <v>73</v>
      </c>
      <c r="J3" s="11" t="s">
        <v>74</v>
      </c>
      <c r="L3" s="11" t="s">
        <v>73</v>
      </c>
      <c r="M3" s="12" t="s">
        <v>75</v>
      </c>
      <c r="N3" s="12" t="s">
        <v>76</v>
      </c>
      <c r="O3" s="12" t="s">
        <v>77</v>
      </c>
    </row>
    <row r="4" spans="1:15" x14ac:dyDescent="0.25">
      <c r="A4" s="6" t="s">
        <v>23</v>
      </c>
      <c r="B4" s="5" t="s">
        <v>0</v>
      </c>
      <c r="C4" s="5">
        <v>4</v>
      </c>
      <c r="D4" s="13">
        <v>15</v>
      </c>
      <c r="E4" s="14">
        <v>0</v>
      </c>
      <c r="F4" s="13">
        <v>5</v>
      </c>
      <c r="G4" s="13">
        <f>+E4+F4</f>
        <v>5</v>
      </c>
      <c r="H4" s="13">
        <v>2</v>
      </c>
      <c r="I4" s="14">
        <f>+G4-H4</f>
        <v>3</v>
      </c>
      <c r="J4" s="19">
        <f>+(D4*H4)/60</f>
        <v>0.5</v>
      </c>
      <c r="L4" s="2">
        <f>+I4</f>
        <v>3</v>
      </c>
      <c r="M4" s="15">
        <v>0</v>
      </c>
      <c r="N4" s="15">
        <v>0</v>
      </c>
      <c r="O4" s="15">
        <v>0</v>
      </c>
    </row>
    <row r="5" spans="1:15" x14ac:dyDescent="0.25">
      <c r="A5" s="6" t="s">
        <v>25</v>
      </c>
      <c r="B5" s="5" t="s">
        <v>1</v>
      </c>
      <c r="C5" s="5">
        <v>5</v>
      </c>
      <c r="D5" s="13">
        <v>15</v>
      </c>
      <c r="E5" s="14">
        <v>4</v>
      </c>
      <c r="F5" s="13">
        <v>11</v>
      </c>
      <c r="G5" s="13">
        <f t="shared" ref="G5:G25" si="0">+E5+F5</f>
        <v>15</v>
      </c>
      <c r="H5" s="13">
        <v>15</v>
      </c>
      <c r="I5" s="14">
        <f t="shared" ref="I5:I25" si="1">+G5-H5</f>
        <v>0</v>
      </c>
      <c r="J5" s="19">
        <f>+(D5*H5)/60</f>
        <v>3.75</v>
      </c>
      <c r="L5" s="2">
        <f t="shared" ref="L4:L36" si="2">+I5</f>
        <v>0</v>
      </c>
      <c r="M5" s="15">
        <v>0</v>
      </c>
      <c r="N5" s="15">
        <v>0</v>
      </c>
      <c r="O5" s="15">
        <v>0</v>
      </c>
    </row>
    <row r="6" spans="1:15" x14ac:dyDescent="0.25">
      <c r="A6" s="6" t="s">
        <v>26</v>
      </c>
      <c r="B6" s="5" t="s">
        <v>2</v>
      </c>
      <c r="C6" s="5">
        <v>4</v>
      </c>
      <c r="D6" s="3">
        <v>30</v>
      </c>
      <c r="E6" s="3">
        <v>11</v>
      </c>
      <c r="F6" s="3">
        <v>8</v>
      </c>
      <c r="G6" s="3">
        <f t="shared" si="0"/>
        <v>19</v>
      </c>
      <c r="H6" s="3">
        <v>8</v>
      </c>
      <c r="I6" s="3">
        <f t="shared" si="1"/>
        <v>11</v>
      </c>
      <c r="J6" s="20">
        <f t="shared" ref="J5:J25" si="3">+(D6*H6)/60</f>
        <v>4</v>
      </c>
      <c r="K6" s="4"/>
      <c r="L6" s="2">
        <f t="shared" si="2"/>
        <v>11</v>
      </c>
      <c r="M6" s="16">
        <v>7</v>
      </c>
      <c r="N6" s="16">
        <v>4</v>
      </c>
      <c r="O6" s="16">
        <v>0</v>
      </c>
    </row>
    <row r="7" spans="1:15" x14ac:dyDescent="0.25">
      <c r="A7" s="8" t="s">
        <v>27</v>
      </c>
      <c r="B7" s="5" t="s">
        <v>3</v>
      </c>
      <c r="C7" s="5">
        <v>9</v>
      </c>
      <c r="D7" s="13">
        <v>15</v>
      </c>
      <c r="E7" s="14">
        <v>17</v>
      </c>
      <c r="F7" s="13">
        <v>12</v>
      </c>
      <c r="G7" s="13">
        <f t="shared" si="0"/>
        <v>29</v>
      </c>
      <c r="H7" s="13">
        <v>23</v>
      </c>
      <c r="I7" s="14">
        <f t="shared" si="1"/>
        <v>6</v>
      </c>
      <c r="J7" s="19">
        <f t="shared" si="3"/>
        <v>5.75</v>
      </c>
      <c r="L7" s="2">
        <f t="shared" si="2"/>
        <v>6</v>
      </c>
      <c r="M7" s="15">
        <v>3</v>
      </c>
      <c r="N7" s="15">
        <v>3</v>
      </c>
      <c r="O7" s="15">
        <v>0</v>
      </c>
    </row>
    <row r="8" spans="1:15" x14ac:dyDescent="0.25">
      <c r="A8" s="8" t="s">
        <v>28</v>
      </c>
      <c r="B8" s="5" t="s">
        <v>4</v>
      </c>
      <c r="C8" s="5">
        <v>4</v>
      </c>
      <c r="D8" s="13">
        <v>15</v>
      </c>
      <c r="E8" s="14">
        <v>3</v>
      </c>
      <c r="F8" s="13">
        <v>10</v>
      </c>
      <c r="G8" s="13">
        <f t="shared" si="0"/>
        <v>13</v>
      </c>
      <c r="H8" s="13">
        <v>12</v>
      </c>
      <c r="I8" s="14">
        <f t="shared" si="1"/>
        <v>1</v>
      </c>
      <c r="J8" s="19">
        <f t="shared" si="3"/>
        <v>3</v>
      </c>
      <c r="L8" s="2">
        <f t="shared" si="2"/>
        <v>1</v>
      </c>
      <c r="M8" s="15">
        <v>1</v>
      </c>
      <c r="N8" s="15" t="s">
        <v>78</v>
      </c>
      <c r="O8" s="15">
        <v>0</v>
      </c>
    </row>
    <row r="9" spans="1:15" x14ac:dyDescent="0.25">
      <c r="A9" s="8" t="s">
        <v>29</v>
      </c>
      <c r="B9" s="5" t="s">
        <v>5</v>
      </c>
      <c r="C9" s="5">
        <v>18</v>
      </c>
      <c r="D9" s="13">
        <v>15</v>
      </c>
      <c r="E9" s="14">
        <v>2</v>
      </c>
      <c r="F9" s="13">
        <v>11</v>
      </c>
      <c r="G9" s="13">
        <f t="shared" si="0"/>
        <v>13</v>
      </c>
      <c r="H9" s="13">
        <v>13</v>
      </c>
      <c r="I9" s="14">
        <f t="shared" si="1"/>
        <v>0</v>
      </c>
      <c r="J9" s="19">
        <f t="shared" si="3"/>
        <v>3.25</v>
      </c>
      <c r="L9" s="2">
        <f t="shared" si="2"/>
        <v>0</v>
      </c>
      <c r="M9" s="15">
        <v>0</v>
      </c>
      <c r="N9" s="15" t="s">
        <v>78</v>
      </c>
      <c r="O9" s="15">
        <v>0</v>
      </c>
    </row>
    <row r="10" spans="1:15" x14ac:dyDescent="0.25">
      <c r="A10" s="8" t="s">
        <v>30</v>
      </c>
      <c r="B10" s="5" t="s">
        <v>9</v>
      </c>
      <c r="C10" s="5">
        <v>3</v>
      </c>
      <c r="D10" s="3">
        <v>10</v>
      </c>
      <c r="E10" s="3">
        <v>0</v>
      </c>
      <c r="F10" s="3">
        <v>75</v>
      </c>
      <c r="G10" s="3">
        <f t="shared" si="0"/>
        <v>75</v>
      </c>
      <c r="H10" s="3">
        <v>75</v>
      </c>
      <c r="I10" s="3">
        <f t="shared" si="1"/>
        <v>0</v>
      </c>
      <c r="J10" s="20">
        <f t="shared" si="3"/>
        <v>12.5</v>
      </c>
      <c r="K10" s="4"/>
      <c r="L10" s="2">
        <f t="shared" si="2"/>
        <v>0</v>
      </c>
      <c r="M10" s="16" t="s">
        <v>78</v>
      </c>
      <c r="N10" s="16" t="s">
        <v>78</v>
      </c>
      <c r="O10" s="16">
        <v>0</v>
      </c>
    </row>
    <row r="11" spans="1:15" x14ac:dyDescent="0.25">
      <c r="A11" s="8" t="s">
        <v>31</v>
      </c>
      <c r="B11" s="5" t="s">
        <v>15</v>
      </c>
      <c r="C11" s="5">
        <v>4</v>
      </c>
      <c r="D11" s="13">
        <v>45</v>
      </c>
      <c r="E11" s="14">
        <v>0</v>
      </c>
      <c r="F11" s="13">
        <v>5</v>
      </c>
      <c r="G11" s="13">
        <f t="shared" si="0"/>
        <v>5</v>
      </c>
      <c r="H11" s="13">
        <v>5</v>
      </c>
      <c r="I11" s="14">
        <f t="shared" si="1"/>
        <v>0</v>
      </c>
      <c r="J11" s="19">
        <f t="shared" si="3"/>
        <v>3.75</v>
      </c>
      <c r="L11" s="2">
        <f t="shared" si="2"/>
        <v>0</v>
      </c>
      <c r="M11" s="15" t="s">
        <v>78</v>
      </c>
      <c r="N11" s="15" t="s">
        <v>78</v>
      </c>
      <c r="O11" s="15">
        <v>0</v>
      </c>
    </row>
    <row r="12" spans="1:15" x14ac:dyDescent="0.25">
      <c r="A12" s="8" t="s">
        <v>32</v>
      </c>
      <c r="B12" s="5" t="s">
        <v>33</v>
      </c>
      <c r="C12" s="5">
        <v>5</v>
      </c>
      <c r="D12" s="13">
        <v>120</v>
      </c>
      <c r="E12" s="14">
        <v>0</v>
      </c>
      <c r="F12" s="13">
        <v>0</v>
      </c>
      <c r="G12" s="13">
        <f t="shared" si="0"/>
        <v>0</v>
      </c>
      <c r="H12" s="13">
        <v>0</v>
      </c>
      <c r="I12" s="14">
        <f t="shared" si="1"/>
        <v>0</v>
      </c>
      <c r="J12" s="19">
        <f t="shared" si="3"/>
        <v>0</v>
      </c>
      <c r="L12" s="2">
        <f t="shared" si="2"/>
        <v>0</v>
      </c>
      <c r="M12" s="15" t="s">
        <v>78</v>
      </c>
      <c r="N12" s="15" t="s">
        <v>78</v>
      </c>
      <c r="O12" s="15">
        <v>0</v>
      </c>
    </row>
    <row r="13" spans="1:15" x14ac:dyDescent="0.25">
      <c r="A13" s="8" t="s">
        <v>34</v>
      </c>
      <c r="B13" s="5" t="s">
        <v>10</v>
      </c>
      <c r="C13" s="5">
        <v>6</v>
      </c>
      <c r="D13" s="13">
        <v>30</v>
      </c>
      <c r="E13" s="14">
        <v>0</v>
      </c>
      <c r="F13" s="13">
        <v>1</v>
      </c>
      <c r="G13" s="13">
        <f t="shared" si="0"/>
        <v>1</v>
      </c>
      <c r="H13" s="13">
        <v>1</v>
      </c>
      <c r="I13" s="14">
        <f t="shared" si="1"/>
        <v>0</v>
      </c>
      <c r="J13" s="19">
        <f t="shared" si="3"/>
        <v>0.5</v>
      </c>
      <c r="L13" s="2">
        <f t="shared" si="2"/>
        <v>0</v>
      </c>
      <c r="M13" s="15">
        <v>0</v>
      </c>
      <c r="N13" s="15" t="s">
        <v>78</v>
      </c>
      <c r="O13" s="15">
        <v>0</v>
      </c>
    </row>
    <row r="14" spans="1:15" x14ac:dyDescent="0.25">
      <c r="A14" s="8" t="s">
        <v>35</v>
      </c>
      <c r="B14" s="5" t="s">
        <v>11</v>
      </c>
      <c r="C14" s="5">
        <v>4</v>
      </c>
      <c r="D14" s="13">
        <v>60</v>
      </c>
      <c r="E14" s="14">
        <v>0</v>
      </c>
      <c r="F14" s="13">
        <v>2</v>
      </c>
      <c r="G14" s="13">
        <f t="shared" si="0"/>
        <v>2</v>
      </c>
      <c r="H14" s="13">
        <v>2</v>
      </c>
      <c r="I14" s="14">
        <f t="shared" si="1"/>
        <v>0</v>
      </c>
      <c r="J14" s="19">
        <f t="shared" si="3"/>
        <v>2</v>
      </c>
      <c r="L14" s="2">
        <f t="shared" si="2"/>
        <v>0</v>
      </c>
      <c r="M14" s="15" t="s">
        <v>78</v>
      </c>
      <c r="N14" s="15" t="s">
        <v>78</v>
      </c>
      <c r="O14" s="15">
        <v>0</v>
      </c>
    </row>
    <row r="15" spans="1:15" x14ac:dyDescent="0.25">
      <c r="A15" s="8" t="s">
        <v>36</v>
      </c>
      <c r="B15" s="5" t="s">
        <v>12</v>
      </c>
      <c r="C15" s="5">
        <v>3</v>
      </c>
      <c r="D15" s="13">
        <v>20</v>
      </c>
      <c r="E15" s="14">
        <v>0</v>
      </c>
      <c r="F15" s="13">
        <v>0</v>
      </c>
      <c r="G15" s="13">
        <f t="shared" si="0"/>
        <v>0</v>
      </c>
      <c r="H15" s="13">
        <v>0</v>
      </c>
      <c r="I15" s="14">
        <f t="shared" si="1"/>
        <v>0</v>
      </c>
      <c r="J15" s="19">
        <f t="shared" si="3"/>
        <v>0</v>
      </c>
      <c r="L15" s="2">
        <f t="shared" si="2"/>
        <v>0</v>
      </c>
      <c r="M15" s="15">
        <v>0</v>
      </c>
      <c r="N15" s="15" t="s">
        <v>78</v>
      </c>
      <c r="O15" s="15">
        <v>0</v>
      </c>
    </row>
    <row r="16" spans="1:15" x14ac:dyDescent="0.25">
      <c r="A16" s="8" t="s">
        <v>37</v>
      </c>
      <c r="B16" s="5" t="s">
        <v>7</v>
      </c>
      <c r="C16" s="5">
        <v>9</v>
      </c>
      <c r="D16" s="13">
        <v>30</v>
      </c>
      <c r="E16" s="14">
        <v>0</v>
      </c>
      <c r="F16" s="13">
        <v>0</v>
      </c>
      <c r="G16" s="13">
        <f t="shared" si="0"/>
        <v>0</v>
      </c>
      <c r="H16" s="13">
        <v>0</v>
      </c>
      <c r="I16" s="14">
        <f t="shared" si="1"/>
        <v>0</v>
      </c>
      <c r="J16" s="19">
        <f t="shared" si="3"/>
        <v>0</v>
      </c>
      <c r="L16" s="2">
        <f t="shared" si="2"/>
        <v>0</v>
      </c>
      <c r="M16" s="15">
        <v>0</v>
      </c>
      <c r="N16" s="15" t="s">
        <v>78</v>
      </c>
      <c r="O16" s="15">
        <v>0</v>
      </c>
    </row>
    <row r="17" spans="1:15" x14ac:dyDescent="0.25">
      <c r="A17" s="8" t="s">
        <v>38</v>
      </c>
      <c r="B17" s="5" t="s">
        <v>8</v>
      </c>
      <c r="C17" s="5">
        <v>9</v>
      </c>
      <c r="D17" s="13">
        <v>30</v>
      </c>
      <c r="E17" s="14">
        <v>0</v>
      </c>
      <c r="F17" s="13">
        <v>2</v>
      </c>
      <c r="G17" s="13">
        <f t="shared" si="0"/>
        <v>2</v>
      </c>
      <c r="H17" s="13">
        <v>0</v>
      </c>
      <c r="I17" s="14">
        <f t="shared" si="1"/>
        <v>2</v>
      </c>
      <c r="J17" s="19">
        <f t="shared" si="3"/>
        <v>0</v>
      </c>
      <c r="L17" s="2">
        <f t="shared" si="2"/>
        <v>2</v>
      </c>
      <c r="M17" s="15">
        <v>2</v>
      </c>
      <c r="N17" s="15" t="s">
        <v>78</v>
      </c>
      <c r="O17" s="15">
        <v>0</v>
      </c>
    </row>
    <row r="18" spans="1:15" x14ac:dyDescent="0.25">
      <c r="A18" s="8" t="s">
        <v>39</v>
      </c>
      <c r="B18" s="5" t="s">
        <v>6</v>
      </c>
      <c r="C18" s="5">
        <v>2</v>
      </c>
      <c r="D18" s="13">
        <v>45</v>
      </c>
      <c r="E18" s="14">
        <v>0</v>
      </c>
      <c r="F18" s="13">
        <v>0</v>
      </c>
      <c r="G18" s="13">
        <f t="shared" si="0"/>
        <v>0</v>
      </c>
      <c r="H18" s="13">
        <v>0</v>
      </c>
      <c r="I18" s="14">
        <f t="shared" si="1"/>
        <v>0</v>
      </c>
      <c r="J18" s="19">
        <f t="shared" si="3"/>
        <v>0</v>
      </c>
      <c r="L18" s="2">
        <f t="shared" si="2"/>
        <v>0</v>
      </c>
      <c r="M18" s="15">
        <v>0</v>
      </c>
      <c r="N18" s="15" t="s">
        <v>78</v>
      </c>
      <c r="O18" s="15">
        <v>0</v>
      </c>
    </row>
    <row r="19" spans="1:15" x14ac:dyDescent="0.25">
      <c r="A19" s="8" t="s">
        <v>50</v>
      </c>
      <c r="B19" s="5" t="s">
        <v>13</v>
      </c>
      <c r="C19" s="5">
        <v>3</v>
      </c>
      <c r="D19" s="13">
        <v>7</v>
      </c>
      <c r="E19" s="14">
        <v>0</v>
      </c>
      <c r="F19" s="13">
        <v>7</v>
      </c>
      <c r="G19" s="13">
        <f t="shared" si="0"/>
        <v>7</v>
      </c>
      <c r="H19" s="13">
        <v>7</v>
      </c>
      <c r="I19" s="14">
        <f t="shared" si="1"/>
        <v>0</v>
      </c>
      <c r="J19" s="19">
        <f t="shared" si="3"/>
        <v>0.81666666666666665</v>
      </c>
      <c r="L19" s="2">
        <f t="shared" si="2"/>
        <v>0</v>
      </c>
      <c r="M19" s="15" t="s">
        <v>78</v>
      </c>
      <c r="N19" s="15" t="s">
        <v>78</v>
      </c>
      <c r="O19" s="15">
        <v>0</v>
      </c>
    </row>
    <row r="20" spans="1:15" x14ac:dyDescent="0.25">
      <c r="A20" s="8" t="s">
        <v>40</v>
      </c>
      <c r="B20" s="5" t="s">
        <v>17</v>
      </c>
      <c r="C20" s="5">
        <v>2</v>
      </c>
      <c r="D20" s="13">
        <v>15</v>
      </c>
      <c r="E20" s="14">
        <v>6</v>
      </c>
      <c r="F20" s="13">
        <v>0</v>
      </c>
      <c r="G20" s="13">
        <f t="shared" si="0"/>
        <v>6</v>
      </c>
      <c r="H20" s="13">
        <v>6</v>
      </c>
      <c r="I20" s="14">
        <f t="shared" si="1"/>
        <v>0</v>
      </c>
      <c r="J20" s="19">
        <f t="shared" si="3"/>
        <v>1.5</v>
      </c>
      <c r="L20" s="2">
        <f t="shared" si="2"/>
        <v>0</v>
      </c>
      <c r="M20" s="15">
        <v>0</v>
      </c>
      <c r="N20" s="15" t="s">
        <v>78</v>
      </c>
      <c r="O20" s="15">
        <v>0</v>
      </c>
    </row>
    <row r="21" spans="1:15" x14ac:dyDescent="0.25">
      <c r="A21" s="1" t="s">
        <v>41</v>
      </c>
      <c r="B21" s="2" t="s">
        <v>16</v>
      </c>
      <c r="C21" s="5">
        <v>4</v>
      </c>
      <c r="D21" s="13">
        <v>60</v>
      </c>
      <c r="E21" s="14">
        <v>0</v>
      </c>
      <c r="F21" s="13">
        <v>78</v>
      </c>
      <c r="G21" s="13">
        <f t="shared" si="0"/>
        <v>78</v>
      </c>
      <c r="H21" s="13">
        <v>78</v>
      </c>
      <c r="I21" s="14">
        <f t="shared" si="1"/>
        <v>0</v>
      </c>
      <c r="J21" s="19">
        <f t="shared" si="3"/>
        <v>78</v>
      </c>
      <c r="L21" s="2">
        <f t="shared" si="2"/>
        <v>0</v>
      </c>
      <c r="M21" s="15" t="s">
        <v>78</v>
      </c>
      <c r="N21" s="15" t="s">
        <v>78</v>
      </c>
      <c r="O21" s="15">
        <v>0</v>
      </c>
    </row>
    <row r="22" spans="1:15" x14ac:dyDescent="0.25">
      <c r="A22" s="1" t="s">
        <v>42</v>
      </c>
      <c r="B22" s="2" t="s">
        <v>43</v>
      </c>
      <c r="C22" s="7">
        <v>7</v>
      </c>
      <c r="D22" s="13">
        <v>45</v>
      </c>
      <c r="E22" s="14">
        <v>0</v>
      </c>
      <c r="F22" s="13">
        <v>5</v>
      </c>
      <c r="G22" s="13">
        <f t="shared" si="0"/>
        <v>5</v>
      </c>
      <c r="H22" s="13">
        <v>5</v>
      </c>
      <c r="I22" s="14">
        <f t="shared" si="1"/>
        <v>0</v>
      </c>
      <c r="J22" s="19">
        <f t="shared" si="3"/>
        <v>3.75</v>
      </c>
      <c r="L22" s="2">
        <f t="shared" si="2"/>
        <v>0</v>
      </c>
      <c r="M22" s="15" t="s">
        <v>78</v>
      </c>
      <c r="N22" s="15" t="s">
        <v>78</v>
      </c>
      <c r="O22" s="15">
        <v>0</v>
      </c>
    </row>
    <row r="23" spans="1:15" x14ac:dyDescent="0.25">
      <c r="A23" s="1" t="s">
        <v>44</v>
      </c>
      <c r="B23" s="2" t="s">
        <v>20</v>
      </c>
      <c r="C23" s="2">
        <v>7</v>
      </c>
      <c r="D23" s="13">
        <v>60</v>
      </c>
      <c r="E23" s="14">
        <v>0</v>
      </c>
      <c r="F23" s="13">
        <v>60</v>
      </c>
      <c r="G23" s="13">
        <f t="shared" si="0"/>
        <v>60</v>
      </c>
      <c r="H23" s="13">
        <v>60</v>
      </c>
      <c r="I23" s="14">
        <f t="shared" si="1"/>
        <v>0</v>
      </c>
      <c r="J23" s="19">
        <f t="shared" si="3"/>
        <v>60</v>
      </c>
      <c r="L23" s="2">
        <f t="shared" si="2"/>
        <v>0</v>
      </c>
      <c r="M23" s="2" t="s">
        <v>78</v>
      </c>
      <c r="N23" s="2" t="s">
        <v>78</v>
      </c>
      <c r="O23" s="15">
        <v>0</v>
      </c>
    </row>
    <row r="24" spans="1:15" x14ac:dyDescent="0.25">
      <c r="A24" s="8" t="s">
        <v>45</v>
      </c>
      <c r="B24" s="2" t="s">
        <v>46</v>
      </c>
      <c r="C24" s="2">
        <v>7</v>
      </c>
      <c r="D24" s="13">
        <v>45</v>
      </c>
      <c r="E24" s="14">
        <v>0</v>
      </c>
      <c r="F24" s="13">
        <v>0</v>
      </c>
      <c r="G24" s="13">
        <f t="shared" si="0"/>
        <v>0</v>
      </c>
      <c r="H24" s="13">
        <v>0</v>
      </c>
      <c r="I24" s="14">
        <f t="shared" si="1"/>
        <v>0</v>
      </c>
      <c r="J24" s="19">
        <f t="shared" si="3"/>
        <v>0</v>
      </c>
      <c r="L24" s="2">
        <f t="shared" si="2"/>
        <v>0</v>
      </c>
      <c r="M24" s="2" t="s">
        <v>78</v>
      </c>
      <c r="N24" s="2" t="s">
        <v>78</v>
      </c>
      <c r="O24" s="15">
        <v>0</v>
      </c>
    </row>
    <row r="25" spans="1:15" x14ac:dyDescent="0.25">
      <c r="A25" s="8" t="s">
        <v>47</v>
      </c>
      <c r="B25" s="2" t="s">
        <v>18</v>
      </c>
      <c r="C25" s="2">
        <v>4</v>
      </c>
      <c r="D25" s="13">
        <v>60</v>
      </c>
      <c r="E25" s="14">
        <v>0</v>
      </c>
      <c r="F25" s="13">
        <v>7</v>
      </c>
      <c r="G25" s="13">
        <f t="shared" si="0"/>
        <v>7</v>
      </c>
      <c r="H25" s="13">
        <v>7</v>
      </c>
      <c r="I25" s="14">
        <f t="shared" si="1"/>
        <v>0</v>
      </c>
      <c r="J25" s="19">
        <f t="shared" si="3"/>
        <v>7</v>
      </c>
      <c r="L25" s="2">
        <f t="shared" si="2"/>
        <v>0</v>
      </c>
      <c r="M25" s="2" t="s">
        <v>78</v>
      </c>
      <c r="N25" s="2" t="s">
        <v>78</v>
      </c>
      <c r="O25" s="15">
        <v>0</v>
      </c>
    </row>
    <row r="26" spans="1:15" x14ac:dyDescent="0.25">
      <c r="A26" s="8" t="s">
        <v>48</v>
      </c>
      <c r="B26" s="2" t="s">
        <v>49</v>
      </c>
      <c r="C26" s="2">
        <v>2</v>
      </c>
      <c r="D26" s="13">
        <v>30</v>
      </c>
      <c r="E26" s="14">
        <v>0</v>
      </c>
      <c r="F26" s="13">
        <v>7</v>
      </c>
      <c r="G26" s="13">
        <f t="shared" ref="G26:G33" si="4">+E26+F26</f>
        <v>7</v>
      </c>
      <c r="H26" s="13">
        <v>7</v>
      </c>
      <c r="I26" s="14">
        <f t="shared" ref="I26:I33" si="5">+G26-H26</f>
        <v>0</v>
      </c>
      <c r="J26" s="19">
        <f t="shared" ref="J26:J33" si="6">+(D26*H26)/60</f>
        <v>3.5</v>
      </c>
      <c r="L26" s="2">
        <f t="shared" si="2"/>
        <v>0</v>
      </c>
      <c r="M26" s="2" t="s">
        <v>78</v>
      </c>
      <c r="N26" s="2" t="s">
        <v>78</v>
      </c>
      <c r="O26" s="15">
        <v>0</v>
      </c>
    </row>
    <row r="27" spans="1:15" x14ac:dyDescent="0.25">
      <c r="A27" s="8" t="s">
        <v>51</v>
      </c>
      <c r="B27" s="2" t="s">
        <v>52</v>
      </c>
      <c r="C27" s="2">
        <v>3</v>
      </c>
      <c r="D27" s="13">
        <v>45</v>
      </c>
      <c r="E27" s="14">
        <v>0</v>
      </c>
      <c r="F27" s="13">
        <v>7</v>
      </c>
      <c r="G27" s="13">
        <f t="shared" si="4"/>
        <v>7</v>
      </c>
      <c r="H27" s="13">
        <v>7</v>
      </c>
      <c r="I27" s="14">
        <f t="shared" si="5"/>
        <v>0</v>
      </c>
      <c r="J27" s="19">
        <f t="shared" si="6"/>
        <v>5.25</v>
      </c>
      <c r="L27" s="2">
        <f t="shared" si="2"/>
        <v>0</v>
      </c>
      <c r="M27" s="2" t="s">
        <v>78</v>
      </c>
      <c r="N27" s="2" t="s">
        <v>78</v>
      </c>
      <c r="O27" s="15">
        <v>0</v>
      </c>
    </row>
    <row r="28" spans="1:15" x14ac:dyDescent="0.25">
      <c r="A28" s="8" t="s">
        <v>53</v>
      </c>
      <c r="B28" s="2" t="s">
        <v>21</v>
      </c>
      <c r="C28" s="2">
        <v>7</v>
      </c>
      <c r="D28" s="13">
        <v>30</v>
      </c>
      <c r="E28" s="14">
        <v>0</v>
      </c>
      <c r="F28" s="13">
        <v>7</v>
      </c>
      <c r="G28" s="13">
        <f t="shared" si="4"/>
        <v>7</v>
      </c>
      <c r="H28" s="13">
        <v>7</v>
      </c>
      <c r="I28" s="14">
        <f t="shared" si="5"/>
        <v>0</v>
      </c>
      <c r="J28" s="19">
        <f t="shared" si="6"/>
        <v>3.5</v>
      </c>
      <c r="L28" s="2">
        <f t="shared" si="2"/>
        <v>0</v>
      </c>
      <c r="M28" s="2" t="s">
        <v>78</v>
      </c>
      <c r="N28" s="2" t="s">
        <v>78</v>
      </c>
      <c r="O28" s="15">
        <v>0</v>
      </c>
    </row>
    <row r="29" spans="1:15" x14ac:dyDescent="0.25">
      <c r="A29" s="8" t="s">
        <v>54</v>
      </c>
      <c r="B29" s="2" t="s">
        <v>22</v>
      </c>
      <c r="C29" s="2">
        <v>7</v>
      </c>
      <c r="D29" s="13">
        <v>30</v>
      </c>
      <c r="E29" s="14">
        <v>0</v>
      </c>
      <c r="F29" s="13">
        <v>7</v>
      </c>
      <c r="G29" s="13">
        <f t="shared" si="4"/>
        <v>7</v>
      </c>
      <c r="H29" s="13">
        <v>7</v>
      </c>
      <c r="I29" s="14">
        <f t="shared" si="5"/>
        <v>0</v>
      </c>
      <c r="J29" s="19">
        <f t="shared" si="6"/>
        <v>3.5</v>
      </c>
      <c r="L29" s="2">
        <f t="shared" si="2"/>
        <v>0</v>
      </c>
      <c r="M29" s="2" t="s">
        <v>78</v>
      </c>
      <c r="N29" s="2" t="s">
        <v>78</v>
      </c>
      <c r="O29" s="15">
        <v>0</v>
      </c>
    </row>
    <row r="30" spans="1:15" x14ac:dyDescent="0.25">
      <c r="A30" s="8" t="s">
        <v>55</v>
      </c>
      <c r="B30" s="2" t="s">
        <v>19</v>
      </c>
      <c r="C30" s="2">
        <v>1</v>
      </c>
      <c r="D30" s="13">
        <v>60</v>
      </c>
      <c r="E30" s="14">
        <v>0</v>
      </c>
      <c r="F30" s="13">
        <v>7</v>
      </c>
      <c r="G30" s="13">
        <f t="shared" si="4"/>
        <v>7</v>
      </c>
      <c r="H30" s="13">
        <v>7</v>
      </c>
      <c r="I30" s="14">
        <f t="shared" si="5"/>
        <v>0</v>
      </c>
      <c r="J30" s="19">
        <f t="shared" si="6"/>
        <v>7</v>
      </c>
      <c r="L30" s="2">
        <f t="shared" si="2"/>
        <v>0</v>
      </c>
      <c r="M30" s="2" t="s">
        <v>78</v>
      </c>
      <c r="N30" s="2" t="s">
        <v>78</v>
      </c>
      <c r="O30" s="15">
        <v>0</v>
      </c>
    </row>
    <row r="31" spans="1:15" x14ac:dyDescent="0.25">
      <c r="A31" s="1" t="s">
        <v>56</v>
      </c>
      <c r="B31" s="2" t="s">
        <v>14</v>
      </c>
      <c r="C31" s="2">
        <v>5</v>
      </c>
      <c r="D31" s="13">
        <v>30</v>
      </c>
      <c r="E31" s="14">
        <v>0</v>
      </c>
      <c r="F31" s="13">
        <v>7</v>
      </c>
      <c r="G31" s="13">
        <f t="shared" si="4"/>
        <v>7</v>
      </c>
      <c r="H31" s="13">
        <v>7</v>
      </c>
      <c r="I31" s="14">
        <f t="shared" si="5"/>
        <v>0</v>
      </c>
      <c r="J31" s="19">
        <f t="shared" si="6"/>
        <v>3.5</v>
      </c>
      <c r="L31" s="2">
        <f t="shared" si="2"/>
        <v>0</v>
      </c>
      <c r="M31" s="2" t="s">
        <v>78</v>
      </c>
      <c r="N31" s="2" t="s">
        <v>78</v>
      </c>
      <c r="O31" s="15">
        <v>0</v>
      </c>
    </row>
    <row r="32" spans="1:15" x14ac:dyDescent="0.25">
      <c r="A32" s="1" t="s">
        <v>57</v>
      </c>
      <c r="B32" s="2" t="s">
        <v>58</v>
      </c>
      <c r="C32" s="2">
        <v>5</v>
      </c>
      <c r="D32" s="13">
        <v>30</v>
      </c>
      <c r="E32" s="14">
        <v>0</v>
      </c>
      <c r="F32" s="13">
        <v>7</v>
      </c>
      <c r="G32" s="13">
        <f t="shared" si="4"/>
        <v>7</v>
      </c>
      <c r="H32" s="13">
        <v>7</v>
      </c>
      <c r="I32" s="14">
        <f t="shared" si="5"/>
        <v>0</v>
      </c>
      <c r="J32" s="19">
        <f t="shared" si="6"/>
        <v>3.5</v>
      </c>
      <c r="L32" s="2">
        <f t="shared" si="2"/>
        <v>0</v>
      </c>
      <c r="M32" s="2" t="s">
        <v>78</v>
      </c>
      <c r="N32" s="2" t="s">
        <v>78</v>
      </c>
      <c r="O32" s="15">
        <v>0</v>
      </c>
    </row>
    <row r="33" spans="1:15" x14ac:dyDescent="0.25">
      <c r="A33" s="1" t="s">
        <v>82</v>
      </c>
      <c r="B33" s="2" t="s">
        <v>81</v>
      </c>
      <c r="C33" s="2">
        <v>30</v>
      </c>
      <c r="D33" s="13">
        <v>240</v>
      </c>
      <c r="E33" s="14">
        <v>0</v>
      </c>
      <c r="F33" s="13">
        <v>1</v>
      </c>
      <c r="G33" s="13">
        <f t="shared" si="4"/>
        <v>1</v>
      </c>
      <c r="H33" s="13">
        <v>1</v>
      </c>
      <c r="I33" s="14">
        <f t="shared" si="5"/>
        <v>0</v>
      </c>
      <c r="J33" s="19">
        <f t="shared" si="6"/>
        <v>4</v>
      </c>
      <c r="L33" s="2">
        <f t="shared" si="2"/>
        <v>0</v>
      </c>
      <c r="M33" s="2" t="s">
        <v>78</v>
      </c>
      <c r="N33" s="2" t="s">
        <v>78</v>
      </c>
      <c r="O33" s="15">
        <v>0</v>
      </c>
    </row>
    <row r="34" spans="1:15" x14ac:dyDescent="0.25">
      <c r="A34" s="1" t="s">
        <v>85</v>
      </c>
      <c r="B34" s="2" t="s">
        <v>86</v>
      </c>
      <c r="C34" s="2">
        <v>1</v>
      </c>
      <c r="D34" s="13">
        <v>10</v>
      </c>
      <c r="E34" s="14">
        <v>0</v>
      </c>
      <c r="F34" s="13">
        <v>50</v>
      </c>
      <c r="G34" s="13">
        <f t="shared" ref="G34:G36" si="7">+E34+F34</f>
        <v>50</v>
      </c>
      <c r="H34" s="13">
        <v>50</v>
      </c>
      <c r="I34" s="14">
        <f t="shared" ref="I34:I36" si="8">+G34-H34</f>
        <v>0</v>
      </c>
      <c r="J34" s="19">
        <f t="shared" ref="J34:J36" si="9">+(D34*H34)/60</f>
        <v>8.3333333333333339</v>
      </c>
      <c r="L34" s="2">
        <f t="shared" si="2"/>
        <v>0</v>
      </c>
      <c r="M34" s="2" t="s">
        <v>78</v>
      </c>
      <c r="N34" s="2" t="s">
        <v>78</v>
      </c>
      <c r="O34" s="15">
        <v>0</v>
      </c>
    </row>
    <row r="35" spans="1:15" x14ac:dyDescent="0.25">
      <c r="A35" s="1" t="s">
        <v>87</v>
      </c>
      <c r="B35" s="2" t="s">
        <v>88</v>
      </c>
      <c r="C35" s="2">
        <v>7</v>
      </c>
      <c r="D35" s="13">
        <v>45</v>
      </c>
      <c r="E35" s="14">
        <v>0</v>
      </c>
      <c r="F35" s="13">
        <v>1</v>
      </c>
      <c r="G35" s="13">
        <f t="shared" si="7"/>
        <v>1</v>
      </c>
      <c r="H35" s="13">
        <v>1</v>
      </c>
      <c r="I35" s="14">
        <f t="shared" si="8"/>
        <v>0</v>
      </c>
      <c r="J35" s="19">
        <f t="shared" si="9"/>
        <v>0.75</v>
      </c>
      <c r="L35" s="2">
        <f t="shared" si="2"/>
        <v>0</v>
      </c>
      <c r="M35" s="2" t="s">
        <v>78</v>
      </c>
      <c r="N35" s="2" t="s">
        <v>78</v>
      </c>
      <c r="O35" s="15">
        <v>0</v>
      </c>
    </row>
    <row r="36" spans="1:15" x14ac:dyDescent="0.25">
      <c r="A36" s="1" t="s">
        <v>89</v>
      </c>
      <c r="B36" s="2" t="s">
        <v>90</v>
      </c>
      <c r="C36" s="2">
        <v>7</v>
      </c>
      <c r="D36" s="13">
        <v>45</v>
      </c>
      <c r="E36" s="14">
        <v>0</v>
      </c>
      <c r="F36" s="13">
        <v>1</v>
      </c>
      <c r="G36" s="13">
        <f t="shared" si="7"/>
        <v>1</v>
      </c>
      <c r="H36" s="13">
        <v>1</v>
      </c>
      <c r="I36" s="14">
        <f t="shared" si="8"/>
        <v>0</v>
      </c>
      <c r="J36" s="19">
        <f t="shared" si="9"/>
        <v>0.75</v>
      </c>
      <c r="L36" s="2">
        <f t="shared" si="2"/>
        <v>0</v>
      </c>
      <c r="M36" s="2" t="s">
        <v>78</v>
      </c>
      <c r="N36" s="2" t="s">
        <v>78</v>
      </c>
      <c r="O36" s="15">
        <v>0</v>
      </c>
    </row>
    <row r="37" spans="1:15" ht="15.75" x14ac:dyDescent="0.25">
      <c r="A37" s="50" t="s">
        <v>79</v>
      </c>
      <c r="B37" s="50"/>
      <c r="C37" s="50"/>
      <c r="D37" s="18">
        <f>SUM(D4:D34)</f>
        <v>1292</v>
      </c>
      <c r="E37" s="18">
        <f t="shared" ref="E37:J37" si="10">SUM(E4:E33)</f>
        <v>43</v>
      </c>
      <c r="F37" s="18">
        <f t="shared" si="10"/>
        <v>349</v>
      </c>
      <c r="G37" s="18">
        <f t="shared" si="10"/>
        <v>392</v>
      </c>
      <c r="H37" s="18">
        <f t="shared" si="10"/>
        <v>369</v>
      </c>
      <c r="I37" s="18">
        <f t="shared" si="10"/>
        <v>23</v>
      </c>
      <c r="J37" s="46">
        <f t="shared" si="10"/>
        <v>223.81666666666666</v>
      </c>
      <c r="L37" s="9">
        <f>SUM(L4:L25)</f>
        <v>23</v>
      </c>
      <c r="M37" s="9">
        <f>SUM(M4:M25)</f>
        <v>13</v>
      </c>
      <c r="N37" s="9">
        <f>SUM(N4:N25)</f>
        <v>7</v>
      </c>
      <c r="O37" s="9">
        <f>SUM(O4:O25)</f>
        <v>0</v>
      </c>
    </row>
    <row r="38" spans="1:15" ht="15.75" x14ac:dyDescent="0.25">
      <c r="A38" s="47" t="s">
        <v>80</v>
      </c>
      <c r="B38" s="48"/>
      <c r="C38" s="49"/>
      <c r="D38" s="51">
        <f>+J37/7</f>
        <v>31.973809523809525</v>
      </c>
      <c r="E38" s="52"/>
      <c r="F38" s="52"/>
      <c r="G38" s="52"/>
      <c r="H38" s="52"/>
      <c r="I38" s="52"/>
      <c r="J38" s="53"/>
      <c r="L38" s="9"/>
      <c r="M38" s="9"/>
      <c r="N38" s="9"/>
      <c r="O38" s="9"/>
    </row>
  </sheetData>
  <mergeCells count="7">
    <mergeCell ref="D38:J38"/>
    <mergeCell ref="A38:C38"/>
    <mergeCell ref="L1:O1"/>
    <mergeCell ref="D2:I2"/>
    <mergeCell ref="L2:M2"/>
    <mergeCell ref="N2:O2"/>
    <mergeCell ref="A37:C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"/>
  <sheetViews>
    <sheetView workbookViewId="0">
      <selection activeCell="B1" sqref="B1"/>
    </sheetView>
  </sheetViews>
  <sheetFormatPr defaultRowHeight="15" x14ac:dyDescent="0.25"/>
  <cols>
    <col min="2" max="2" width="79.85546875" bestFit="1" customWidth="1"/>
  </cols>
  <sheetData>
    <row r="2" spans="1:2" x14ac:dyDescent="0.25">
      <c r="A2" s="22">
        <v>1</v>
      </c>
      <c r="B2" s="21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"/>
  <sheetViews>
    <sheetView showGridLines="0" topLeftCell="D4" workbookViewId="0">
      <selection activeCell="J5" sqref="J5:N5"/>
    </sheetView>
  </sheetViews>
  <sheetFormatPr defaultRowHeight="15" x14ac:dyDescent="0.25"/>
  <cols>
    <col min="1" max="1" width="24" bestFit="1" customWidth="1"/>
    <col min="2" max="2" width="17.42578125" customWidth="1"/>
    <col min="3" max="3" width="19.5703125" customWidth="1"/>
    <col min="5" max="5" width="32.42578125" customWidth="1"/>
    <col min="6" max="8" width="16.28515625" customWidth="1"/>
    <col min="9" max="9" width="17.42578125" customWidth="1"/>
  </cols>
  <sheetData>
    <row r="1" spans="1:14" ht="16.5" customHeight="1" x14ac:dyDescent="0.25">
      <c r="A1" s="42"/>
      <c r="B1" s="43"/>
      <c r="C1" s="44" t="s">
        <v>136</v>
      </c>
    </row>
    <row r="2" spans="1:14" x14ac:dyDescent="0.25">
      <c r="A2" s="42"/>
      <c r="B2" s="43"/>
      <c r="C2" s="44"/>
    </row>
    <row r="3" spans="1:14" x14ac:dyDescent="0.25">
      <c r="A3" s="36" t="s">
        <v>135</v>
      </c>
      <c r="B3" s="37"/>
      <c r="C3" s="35" t="s">
        <v>134</v>
      </c>
    </row>
    <row r="4" spans="1:14" ht="30" x14ac:dyDescent="0.25">
      <c r="A4" s="36" t="s">
        <v>133</v>
      </c>
      <c r="B4" s="36" t="s">
        <v>132</v>
      </c>
      <c r="C4" s="35" t="s">
        <v>131</v>
      </c>
      <c r="E4" s="34"/>
      <c r="F4" s="33" t="s">
        <v>130</v>
      </c>
      <c r="G4" s="33"/>
    </row>
    <row r="5" spans="1:14" ht="16.5" thickBot="1" x14ac:dyDescent="0.3">
      <c r="J5" s="45" t="s">
        <v>129</v>
      </c>
      <c r="K5" s="45"/>
      <c r="L5" s="45"/>
      <c r="M5" s="45"/>
      <c r="N5" s="45"/>
    </row>
    <row r="6" spans="1:14" ht="63" customHeight="1" thickBot="1" x14ac:dyDescent="0.3">
      <c r="A6" s="31" t="s">
        <v>128</v>
      </c>
      <c r="B6" s="31" t="s">
        <v>127</v>
      </c>
      <c r="C6" s="31" t="s">
        <v>124</v>
      </c>
      <c r="E6" s="31" t="s">
        <v>128</v>
      </c>
      <c r="F6" s="31" t="s">
        <v>127</v>
      </c>
      <c r="G6" s="32" t="s">
        <v>126</v>
      </c>
      <c r="H6" s="32" t="s">
        <v>125</v>
      </c>
      <c r="I6" s="31" t="s">
        <v>124</v>
      </c>
      <c r="J6" s="30" t="s">
        <v>123</v>
      </c>
      <c r="K6" s="30" t="s">
        <v>122</v>
      </c>
      <c r="L6" s="30" t="s">
        <v>121</v>
      </c>
      <c r="M6" s="30" t="s">
        <v>120</v>
      </c>
      <c r="N6" s="30" t="s">
        <v>119</v>
      </c>
    </row>
    <row r="7" spans="1:14" ht="15.75" thickBot="1" x14ac:dyDescent="0.3">
      <c r="A7" s="29" t="s">
        <v>118</v>
      </c>
      <c r="B7" s="29">
        <v>1</v>
      </c>
      <c r="C7" s="28">
        <v>1.03E-2</v>
      </c>
      <c r="E7" s="29" t="s">
        <v>118</v>
      </c>
      <c r="F7" s="29">
        <v>1</v>
      </c>
      <c r="G7" s="27"/>
      <c r="H7" s="27"/>
      <c r="I7" s="28">
        <v>1.03E-2</v>
      </c>
      <c r="J7" s="27"/>
      <c r="K7" s="27"/>
      <c r="L7" s="27"/>
      <c r="M7" s="27"/>
      <c r="N7" s="27"/>
    </row>
    <row r="8" spans="1:14" ht="15.75" thickBot="1" x14ac:dyDescent="0.3">
      <c r="A8" s="29" t="s">
        <v>117</v>
      </c>
      <c r="B8" s="29">
        <v>0</v>
      </c>
      <c r="C8" s="28">
        <v>0</v>
      </c>
      <c r="E8" s="29" t="s">
        <v>117</v>
      </c>
      <c r="F8" s="29">
        <v>0</v>
      </c>
      <c r="G8" s="27"/>
      <c r="H8" s="27"/>
      <c r="I8" s="28">
        <v>0</v>
      </c>
      <c r="J8" s="27"/>
      <c r="K8" s="27"/>
      <c r="L8" s="27"/>
      <c r="M8" s="27"/>
      <c r="N8" s="27"/>
    </row>
    <row r="9" spans="1:14" ht="15.75" thickBot="1" x14ac:dyDescent="0.3">
      <c r="A9" s="29" t="s">
        <v>116</v>
      </c>
      <c r="B9" s="29">
        <v>0</v>
      </c>
      <c r="C9" s="28">
        <v>0</v>
      </c>
      <c r="E9" s="29" t="s">
        <v>116</v>
      </c>
      <c r="F9" s="29">
        <v>0</v>
      </c>
      <c r="G9" s="27"/>
      <c r="H9" s="27"/>
      <c r="I9" s="28">
        <v>0</v>
      </c>
      <c r="J9" s="27"/>
      <c r="K9" s="27"/>
      <c r="L9" s="27"/>
      <c r="M9" s="27"/>
      <c r="N9" s="27"/>
    </row>
    <row r="10" spans="1:14" ht="15.75" thickBot="1" x14ac:dyDescent="0.3">
      <c r="A10" s="29" t="s">
        <v>115</v>
      </c>
      <c r="B10" s="29">
        <v>3</v>
      </c>
      <c r="C10" s="28">
        <v>3.09E-2</v>
      </c>
      <c r="E10" s="29" t="s">
        <v>115</v>
      </c>
      <c r="F10" s="29">
        <v>3</v>
      </c>
      <c r="G10" s="27"/>
      <c r="H10" s="27"/>
      <c r="I10" s="28">
        <v>3.09E-2</v>
      </c>
      <c r="J10" s="27"/>
      <c r="K10" s="27"/>
      <c r="L10" s="27"/>
      <c r="M10" s="27"/>
      <c r="N10" s="27"/>
    </row>
    <row r="11" spans="1:14" ht="15.75" thickBot="1" x14ac:dyDescent="0.3">
      <c r="A11" s="29" t="s">
        <v>114</v>
      </c>
      <c r="B11" s="29">
        <v>0</v>
      </c>
      <c r="C11" s="28">
        <v>0</v>
      </c>
      <c r="E11" s="29" t="s">
        <v>114</v>
      </c>
      <c r="F11" s="29">
        <v>0</v>
      </c>
      <c r="G11" s="27"/>
      <c r="H11" s="27"/>
      <c r="I11" s="28">
        <v>0</v>
      </c>
      <c r="J11" s="27"/>
      <c r="K11" s="27"/>
      <c r="L11" s="27"/>
      <c r="M11" s="27"/>
      <c r="N11" s="27"/>
    </row>
    <row r="12" spans="1:14" ht="15.75" thickBot="1" x14ac:dyDescent="0.3">
      <c r="A12" s="29" t="s">
        <v>113</v>
      </c>
      <c r="B12" s="29">
        <v>0</v>
      </c>
      <c r="C12" s="28">
        <v>0</v>
      </c>
      <c r="E12" s="29" t="s">
        <v>113</v>
      </c>
      <c r="F12" s="29">
        <v>0</v>
      </c>
      <c r="G12" s="27"/>
      <c r="H12" s="27"/>
      <c r="I12" s="28">
        <v>0</v>
      </c>
      <c r="J12" s="27"/>
      <c r="K12" s="27"/>
      <c r="L12" s="27"/>
      <c r="M12" s="27"/>
      <c r="N12" s="27"/>
    </row>
    <row r="13" spans="1:14" ht="15.75" thickBot="1" x14ac:dyDescent="0.3">
      <c r="A13" s="29" t="s">
        <v>112</v>
      </c>
      <c r="B13" s="29">
        <v>32</v>
      </c>
      <c r="C13" s="28">
        <v>0.32990000000000003</v>
      </c>
      <c r="E13" s="29" t="s">
        <v>112</v>
      </c>
      <c r="F13" s="29">
        <v>32</v>
      </c>
      <c r="G13" s="27"/>
      <c r="H13" s="27"/>
      <c r="I13" s="28">
        <v>0.32990000000000003</v>
      </c>
      <c r="J13" s="27"/>
      <c r="K13" s="27"/>
      <c r="L13" s="27"/>
      <c r="M13" s="27"/>
      <c r="N13" s="27"/>
    </row>
    <row r="14" spans="1:14" ht="15.75" thickBot="1" x14ac:dyDescent="0.3">
      <c r="A14" s="29" t="s">
        <v>111</v>
      </c>
      <c r="B14" s="29">
        <v>56</v>
      </c>
      <c r="C14" s="28">
        <v>0.57730000000000004</v>
      </c>
      <c r="E14" s="29" t="s">
        <v>111</v>
      </c>
      <c r="F14" s="29">
        <v>56</v>
      </c>
      <c r="G14" s="27"/>
      <c r="H14" s="27"/>
      <c r="I14" s="28">
        <v>0.57730000000000004</v>
      </c>
      <c r="J14" s="27"/>
      <c r="K14" s="27"/>
      <c r="L14" s="27"/>
      <c r="M14" s="27"/>
      <c r="N14" s="27"/>
    </row>
    <row r="15" spans="1:14" ht="15.75" thickBot="1" x14ac:dyDescent="0.3">
      <c r="A15" s="29" t="s">
        <v>110</v>
      </c>
      <c r="B15" s="29">
        <v>2</v>
      </c>
      <c r="C15" s="28">
        <v>2.06E-2</v>
      </c>
      <c r="E15" s="29" t="s">
        <v>110</v>
      </c>
      <c r="F15" s="29">
        <v>2</v>
      </c>
      <c r="G15" s="27"/>
      <c r="H15" s="27"/>
      <c r="I15" s="28">
        <v>2.06E-2</v>
      </c>
      <c r="J15" s="27"/>
      <c r="K15" s="27"/>
      <c r="L15" s="27"/>
      <c r="M15" s="27"/>
      <c r="N15" s="27"/>
    </row>
    <row r="16" spans="1:14" ht="15.75" thickBot="1" x14ac:dyDescent="0.3">
      <c r="A16" s="29" t="s">
        <v>109</v>
      </c>
      <c r="B16" s="29">
        <v>2</v>
      </c>
      <c r="C16" s="28">
        <v>2.06E-2</v>
      </c>
      <c r="E16" s="29" t="s">
        <v>109</v>
      </c>
      <c r="F16" s="29">
        <v>2</v>
      </c>
      <c r="G16" s="27"/>
      <c r="H16" s="27"/>
      <c r="I16" s="28">
        <v>2.06E-2</v>
      </c>
      <c r="J16" s="27"/>
      <c r="K16" s="27"/>
      <c r="L16" s="27"/>
      <c r="M16" s="27"/>
      <c r="N16" s="27"/>
    </row>
    <row r="17" spans="1:14" ht="15.75" thickBot="1" x14ac:dyDescent="0.3">
      <c r="A17" s="29" t="s">
        <v>108</v>
      </c>
      <c r="B17" s="29">
        <v>0</v>
      </c>
      <c r="C17" s="28">
        <v>0</v>
      </c>
      <c r="E17" s="29" t="s">
        <v>108</v>
      </c>
      <c r="F17" s="29">
        <v>0</v>
      </c>
      <c r="G17" s="27"/>
      <c r="H17" s="27"/>
      <c r="I17" s="28">
        <v>0</v>
      </c>
      <c r="J17" s="27"/>
      <c r="K17" s="27"/>
      <c r="L17" s="27"/>
      <c r="M17" s="27"/>
      <c r="N17" s="27"/>
    </row>
    <row r="18" spans="1:14" ht="15.75" thickBot="1" x14ac:dyDescent="0.3">
      <c r="A18" s="29" t="s">
        <v>107</v>
      </c>
      <c r="B18" s="29">
        <v>0</v>
      </c>
      <c r="C18" s="28">
        <v>0</v>
      </c>
      <c r="E18" s="29" t="s">
        <v>107</v>
      </c>
      <c r="F18" s="29">
        <v>0</v>
      </c>
      <c r="G18" s="27"/>
      <c r="H18" s="27"/>
      <c r="I18" s="28">
        <v>0</v>
      </c>
      <c r="J18" s="27"/>
      <c r="K18" s="27"/>
      <c r="L18" s="27"/>
      <c r="M18" s="27"/>
      <c r="N18" s="27"/>
    </row>
    <row r="19" spans="1:14" ht="15.75" thickBot="1" x14ac:dyDescent="0.3">
      <c r="A19" s="29" t="s">
        <v>106</v>
      </c>
      <c r="B19" s="29">
        <v>0</v>
      </c>
      <c r="C19" s="28">
        <v>0</v>
      </c>
      <c r="E19" s="29" t="s">
        <v>106</v>
      </c>
      <c r="F19" s="29">
        <v>0</v>
      </c>
      <c r="G19" s="27"/>
      <c r="H19" s="27"/>
      <c r="I19" s="28">
        <v>0</v>
      </c>
      <c r="J19" s="27"/>
      <c r="K19" s="27"/>
      <c r="L19" s="27"/>
      <c r="M19" s="27"/>
      <c r="N19" s="27"/>
    </row>
    <row r="20" spans="1:14" ht="15.75" thickBot="1" x14ac:dyDescent="0.3">
      <c r="A20" s="29" t="s">
        <v>105</v>
      </c>
      <c r="B20" s="29">
        <v>1</v>
      </c>
      <c r="C20" s="28">
        <v>1.03E-2</v>
      </c>
      <c r="E20" s="29" t="s">
        <v>105</v>
      </c>
      <c r="F20" s="29">
        <v>1</v>
      </c>
      <c r="G20" s="27"/>
      <c r="H20" s="27"/>
      <c r="I20" s="28">
        <v>1.03E-2</v>
      </c>
      <c r="J20" s="27"/>
      <c r="K20" s="27"/>
      <c r="L20" s="27"/>
      <c r="M20" s="27"/>
      <c r="N20" s="27"/>
    </row>
    <row r="21" spans="1:14" ht="15.75" thickBot="1" x14ac:dyDescent="0.3">
      <c r="A21" s="29" t="s">
        <v>104</v>
      </c>
      <c r="B21" s="29">
        <v>0</v>
      </c>
      <c r="C21" s="28">
        <v>0</v>
      </c>
      <c r="E21" s="29" t="s">
        <v>104</v>
      </c>
      <c r="F21" s="29">
        <v>0</v>
      </c>
      <c r="G21" s="27"/>
      <c r="H21" s="27"/>
      <c r="I21" s="28">
        <v>0</v>
      </c>
      <c r="J21" s="27"/>
      <c r="K21" s="27"/>
      <c r="L21" s="27"/>
      <c r="M21" s="27"/>
      <c r="N21" s="27"/>
    </row>
    <row r="22" spans="1:14" ht="15.75" thickBot="1" x14ac:dyDescent="0.3">
      <c r="A22" s="29" t="s">
        <v>103</v>
      </c>
      <c r="B22" s="29">
        <v>0</v>
      </c>
      <c r="C22" s="28">
        <v>0</v>
      </c>
      <c r="E22" s="29" t="s">
        <v>103</v>
      </c>
      <c r="F22" s="29">
        <v>0</v>
      </c>
      <c r="G22" s="27"/>
      <c r="H22" s="27"/>
      <c r="I22" s="28">
        <v>0</v>
      </c>
      <c r="J22" s="27"/>
      <c r="K22" s="27"/>
      <c r="L22" s="27"/>
      <c r="M22" s="27"/>
      <c r="N22" s="27"/>
    </row>
    <row r="23" spans="1:14" ht="15.75" thickBot="1" x14ac:dyDescent="0.3">
      <c r="A23" s="29" t="s">
        <v>71</v>
      </c>
      <c r="B23" s="29">
        <v>97</v>
      </c>
      <c r="C23" s="28">
        <v>1</v>
      </c>
      <c r="E23" s="29" t="s">
        <v>71</v>
      </c>
      <c r="F23" s="29">
        <v>97</v>
      </c>
      <c r="G23" s="27"/>
      <c r="H23" s="27"/>
      <c r="I23" s="28">
        <v>1</v>
      </c>
      <c r="J23" s="27"/>
      <c r="K23" s="27"/>
      <c r="L23" s="27"/>
      <c r="M23" s="27"/>
      <c r="N23" s="27"/>
    </row>
  </sheetData>
  <mergeCells count="4">
    <mergeCell ref="A1:A2"/>
    <mergeCell ref="B1:B2"/>
    <mergeCell ref="C1:C2"/>
    <mergeCell ref="J5:N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 1</vt:lpstr>
      <vt:lpstr>Sheet1</vt:lpstr>
      <vt:lpstr>Report 2</vt:lpstr>
      <vt:lpstr>Raw Data Required</vt:lpstr>
      <vt:lpstr>Department Wise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Aijaz  Saleem</dc:creator>
  <cp:lastModifiedBy>Kamran</cp:lastModifiedBy>
  <dcterms:created xsi:type="dcterms:W3CDTF">2016-10-04T18:07:39Z</dcterms:created>
  <dcterms:modified xsi:type="dcterms:W3CDTF">2018-08-15T12:58:30Z</dcterms:modified>
</cp:coreProperties>
</file>
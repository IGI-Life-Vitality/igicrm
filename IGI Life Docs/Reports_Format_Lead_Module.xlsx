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17496" windowHeight="7752" activeTab="3"/>
  </bookViews>
  <sheets>
    <sheet name="Lead Status Rpt" sheetId="1" r:id="rId1"/>
    <sheet name="City wise Lead Analysis" sheetId="2" r:id="rId2"/>
    <sheet name="Source of Info." sheetId="4" r:id="rId3"/>
    <sheet name="Regional Manager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3" l="1"/>
  <c r="E22" i="3"/>
  <c r="E16" i="3"/>
  <c r="D28" i="3"/>
  <c r="D22" i="3"/>
  <c r="D16" i="3"/>
  <c r="G34" i="3"/>
  <c r="H34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16" i="3"/>
  <c r="E16" i="2"/>
  <c r="H31" i="4"/>
  <c r="G31" i="4"/>
  <c r="E26" i="4"/>
  <c r="E21" i="4"/>
  <c r="E16" i="4"/>
  <c r="D21" i="4"/>
  <c r="D16" i="4"/>
  <c r="G34" i="2" l="1"/>
  <c r="H34" i="2"/>
  <c r="I17" i="2"/>
  <c r="I18" i="2"/>
  <c r="I19" i="2"/>
  <c r="I20" i="2"/>
  <c r="I21" i="2"/>
  <c r="I22" i="2"/>
  <c r="D22" i="2" s="1"/>
  <c r="I23" i="2"/>
  <c r="I24" i="2"/>
  <c r="I25" i="2"/>
  <c r="I26" i="2"/>
  <c r="I27" i="2"/>
  <c r="I28" i="2"/>
  <c r="I29" i="2"/>
  <c r="I30" i="2"/>
  <c r="I31" i="2"/>
  <c r="I32" i="2"/>
  <c r="I33" i="2"/>
  <c r="I16" i="2"/>
  <c r="D16" i="2" s="1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16" i="4"/>
  <c r="D28" i="2" l="1"/>
  <c r="I31" i="4"/>
  <c r="J30" i="4" s="1"/>
  <c r="J18" i="4"/>
  <c r="J32" i="3"/>
  <c r="J33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23" i="4" l="1"/>
  <c r="J24" i="4"/>
  <c r="J17" i="4"/>
  <c r="J20" i="4"/>
  <c r="J26" i="4"/>
  <c r="J16" i="4"/>
  <c r="J27" i="4"/>
  <c r="J19" i="4"/>
  <c r="J22" i="4"/>
  <c r="J29" i="4"/>
  <c r="J21" i="4"/>
  <c r="J25" i="4"/>
  <c r="J28" i="4"/>
  <c r="J34" i="3"/>
  <c r="J31" i="4" l="1"/>
  <c r="I34" i="2"/>
  <c r="E22" i="2" l="1"/>
  <c r="E28" i="2"/>
  <c r="J22" i="2"/>
  <c r="J20" i="2"/>
  <c r="J33" i="2"/>
  <c r="J29" i="2"/>
  <c r="J25" i="2"/>
  <c r="J19" i="2"/>
  <c r="J32" i="2"/>
  <c r="J28" i="2"/>
  <c r="J24" i="2"/>
  <c r="J16" i="2"/>
  <c r="J18" i="2"/>
  <c r="J31" i="2"/>
  <c r="J27" i="2"/>
  <c r="J23" i="2"/>
  <c r="J21" i="2"/>
  <c r="J17" i="2"/>
  <c r="J30" i="2"/>
  <c r="J26" i="2"/>
  <c r="E19" i="1"/>
  <c r="F18" i="1" s="1"/>
  <c r="J34" i="2" l="1"/>
  <c r="F15" i="1"/>
  <c r="F16" i="1"/>
  <c r="F13" i="1"/>
  <c r="F17" i="1"/>
  <c r="F14" i="1"/>
  <c r="F19" i="1" l="1"/>
</calcChain>
</file>

<file path=xl/sharedStrings.xml><?xml version="1.0" encoding="utf-8"?>
<sst xmlns="http://schemas.openxmlformats.org/spreadsheetml/2006/main" count="139" uniqueCount="41">
  <si>
    <t>Initiated</t>
  </si>
  <si>
    <t>In Progress</t>
  </si>
  <si>
    <t>Follow Up</t>
  </si>
  <si>
    <t>Bought</t>
  </si>
  <si>
    <t>Not Interested</t>
  </si>
  <si>
    <t>General Inquiry</t>
  </si>
  <si>
    <t>Lead Status</t>
  </si>
  <si>
    <t>Lead Count</t>
  </si>
  <si>
    <t>Overall Percentage</t>
  </si>
  <si>
    <t>Total</t>
  </si>
  <si>
    <t>Lead Status Report</t>
  </si>
  <si>
    <t>From Date</t>
  </si>
  <si>
    <t>To Date</t>
  </si>
  <si>
    <r>
      <rPr>
        <b/>
        <sz val="10"/>
        <color theme="1"/>
        <rFont val="Calibri"/>
        <family val="2"/>
        <scheme val="minor"/>
      </rPr>
      <t>From Date:</t>
    </r>
    <r>
      <rPr>
        <sz val="10"/>
        <color theme="1"/>
        <rFont val="Calibri"/>
        <family val="2"/>
        <scheme val="minor"/>
      </rPr>
      <t xml:space="preserve"> 1/1/2018</t>
    </r>
  </si>
  <si>
    <r>
      <rPr>
        <b/>
        <sz val="10"/>
        <color theme="1"/>
        <rFont val="Calibri"/>
        <family val="2"/>
        <scheme val="minor"/>
      </rPr>
      <t xml:space="preserve">To Date: </t>
    </r>
    <r>
      <rPr>
        <sz val="10"/>
        <color theme="1"/>
        <rFont val="Calibri"/>
        <family val="2"/>
        <scheme val="minor"/>
      </rPr>
      <t>4/1/2018</t>
    </r>
  </si>
  <si>
    <r>
      <rPr>
        <b/>
        <sz val="10"/>
        <color theme="1"/>
        <rFont val="Calibri"/>
        <family val="2"/>
        <scheme val="minor"/>
      </rPr>
      <t>Print Date:</t>
    </r>
    <r>
      <rPr>
        <sz val="10"/>
        <color theme="1"/>
        <rFont val="Calibri"/>
        <family val="2"/>
        <scheme val="minor"/>
      </rPr>
      <t xml:space="preserve"> 5/10/2018 18:00</t>
    </r>
  </si>
  <si>
    <r>
      <rPr>
        <b/>
        <sz val="10"/>
        <color theme="1"/>
        <rFont val="Calibri"/>
        <family val="2"/>
        <scheme val="minor"/>
      </rPr>
      <t>Pages:</t>
    </r>
    <r>
      <rPr>
        <sz val="10"/>
        <color theme="1"/>
        <rFont val="Calibri"/>
        <family val="2"/>
        <scheme val="minor"/>
      </rPr>
      <t xml:space="preserve"> 1</t>
    </r>
  </si>
  <si>
    <t>Page 1 of 1</t>
  </si>
  <si>
    <t>Filter</t>
  </si>
  <si>
    <t>City</t>
  </si>
  <si>
    <t>Karachi</t>
  </si>
  <si>
    <t>Lahore</t>
  </si>
  <si>
    <t>Islamabad</t>
  </si>
  <si>
    <t>City Wise Lead Analysis</t>
  </si>
  <si>
    <r>
      <rPr>
        <b/>
        <sz val="10"/>
        <color theme="1"/>
        <rFont val="Calibri"/>
        <family val="2"/>
        <scheme val="minor"/>
      </rPr>
      <t>City:</t>
    </r>
    <r>
      <rPr>
        <sz val="10"/>
        <color theme="1"/>
        <rFont val="Calibri"/>
        <family val="2"/>
        <scheme val="minor"/>
      </rPr>
      <t xml:space="preserve"> All</t>
    </r>
  </si>
  <si>
    <t>Count</t>
  </si>
  <si>
    <t>Percent</t>
  </si>
  <si>
    <t>Male</t>
  </si>
  <si>
    <t>Female</t>
  </si>
  <si>
    <t>Regional Manager 1</t>
  </si>
  <si>
    <t>Regional Manager 2</t>
  </si>
  <si>
    <t>Regional Manager 3</t>
  </si>
  <si>
    <r>
      <rPr>
        <b/>
        <sz val="10"/>
        <color theme="1"/>
        <rFont val="Calibri"/>
        <family val="2"/>
        <scheme val="minor"/>
      </rPr>
      <t>City:</t>
    </r>
    <r>
      <rPr>
        <sz val="10"/>
        <color theme="1"/>
        <rFont val="Calibri"/>
        <family val="2"/>
        <scheme val="minor"/>
      </rPr>
      <t xml:space="preserve"> Karachi</t>
    </r>
  </si>
  <si>
    <t>Sources of Information</t>
  </si>
  <si>
    <t>Email</t>
  </si>
  <si>
    <t>Mail</t>
  </si>
  <si>
    <t>Call</t>
  </si>
  <si>
    <t>Bill Board</t>
  </si>
  <si>
    <t>Web-Site</t>
  </si>
  <si>
    <t>Regional Manager wise Lead Analysis</t>
  </si>
  <si>
    <t>Source of Info. Wise Leads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</si>
</sst>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/>
    <xf numFmtId="10" fontId="1" fillId="0" borderId="1" xfId="0" applyNumberFormat="1" applyFont="1" applyBorder="1"/>
    <xf numFmtId="0" fontId="0" fillId="2" borderId="1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 applyBorder="1"/>
    <xf numFmtId="0" fontId="0" fillId="2" borderId="1" xfId="0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10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1" fontId="0" fillId="0" borderId="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2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Drop" dropStyle="combo" dx="16" noThreeD="1" sel="0" val="0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Drop" dropStyle="combo" dx="16" noThreeD="1" sel="0" val="0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Drop" dropStyle="combo" dx="16" noThreeD="1" sel="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655320</xdr:colOff>
          <xdr:row>3</xdr:row>
          <xdr:rowOff>30480</xdr:rowOff>
        </xdr:from>
        <xdr:to>
          <xdr:col>3</xdr:col>
          <xdr:colOff>1630680</xdr:colOff>
          <xdr:row>3</xdr:row>
          <xdr:rowOff>182880</xdr:rowOff>
        </xdr:to>
        <xdr:sp macro="" textlink="">
          <xdr:nvSpPr>
            <xdr:cNvPr id="1025" name="TextBox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655320</xdr:colOff>
          <xdr:row>3</xdr:row>
          <xdr:rowOff>30480</xdr:rowOff>
        </xdr:from>
        <xdr:to>
          <xdr:col>5</xdr:col>
          <xdr:colOff>30480</xdr:colOff>
          <xdr:row>3</xdr:row>
          <xdr:rowOff>182880</xdr:rowOff>
        </xdr:to>
        <xdr:sp macro="" textlink="">
          <xdr:nvSpPr>
            <xdr:cNvPr id="1026" name="TextBox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952500</xdr:colOff>
          <xdr:row>3</xdr:row>
          <xdr:rowOff>7620</xdr:rowOff>
        </xdr:from>
        <xdr:to>
          <xdr:col>6</xdr:col>
          <xdr:colOff>60960</xdr:colOff>
          <xdr:row>3</xdr:row>
          <xdr:rowOff>175260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5</xdr:col>
      <xdr:colOff>1152525</xdr:colOff>
      <xdr:row>6</xdr:row>
      <xdr:rowOff>57150</xdr:rowOff>
    </xdr:from>
    <xdr:to>
      <xdr:col>6</xdr:col>
      <xdr:colOff>133212</xdr:colOff>
      <xdr:row>7</xdr:row>
      <xdr:rowOff>66675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0" y="962025"/>
          <a:ext cx="533262" cy="200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708660</xdr:colOff>
          <xdr:row>3</xdr:row>
          <xdr:rowOff>30480</xdr:rowOff>
        </xdr:from>
        <xdr:to>
          <xdr:col>2</xdr:col>
          <xdr:colOff>1676400</xdr:colOff>
          <xdr:row>3</xdr:row>
          <xdr:rowOff>182880</xdr:rowOff>
        </xdr:to>
        <xdr:sp macro="" textlink="">
          <xdr:nvSpPr>
            <xdr:cNvPr id="2049" name="TextBox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655320</xdr:colOff>
          <xdr:row>3</xdr:row>
          <xdr:rowOff>30480</xdr:rowOff>
        </xdr:from>
        <xdr:to>
          <xdr:col>9</xdr:col>
          <xdr:colOff>769620</xdr:colOff>
          <xdr:row>3</xdr:row>
          <xdr:rowOff>182880</xdr:rowOff>
        </xdr:to>
        <xdr:sp macro="" textlink="">
          <xdr:nvSpPr>
            <xdr:cNvPr id="2050" name="TextBox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7620</xdr:rowOff>
        </xdr:from>
        <xdr:to>
          <xdr:col>10</xdr:col>
          <xdr:colOff>60960</xdr:colOff>
          <xdr:row>3</xdr:row>
          <xdr:rowOff>175260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716280</xdr:colOff>
          <xdr:row>5</xdr:row>
          <xdr:rowOff>30480</xdr:rowOff>
        </xdr:from>
        <xdr:to>
          <xdr:col>2</xdr:col>
          <xdr:colOff>1661160</xdr:colOff>
          <xdr:row>5</xdr:row>
          <xdr:rowOff>160020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9</xdr:col>
      <xdr:colOff>971550</xdr:colOff>
      <xdr:row>8</xdr:row>
      <xdr:rowOff>47626</xdr:rowOff>
    </xdr:from>
    <xdr:to>
      <xdr:col>10</xdr:col>
      <xdr:colOff>161787</xdr:colOff>
      <xdr:row>9</xdr:row>
      <xdr:rowOff>85726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2575" y="1238251"/>
          <a:ext cx="533262" cy="228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708660</xdr:colOff>
          <xdr:row>3</xdr:row>
          <xdr:rowOff>30480</xdr:rowOff>
        </xdr:from>
        <xdr:to>
          <xdr:col>3</xdr:col>
          <xdr:colOff>243840</xdr:colOff>
          <xdr:row>3</xdr:row>
          <xdr:rowOff>182880</xdr:rowOff>
        </xdr:to>
        <xdr:sp macro="" textlink="">
          <xdr:nvSpPr>
            <xdr:cNvPr id="4097" name="TextBox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655320</xdr:colOff>
          <xdr:row>3</xdr:row>
          <xdr:rowOff>30480</xdr:rowOff>
        </xdr:from>
        <xdr:to>
          <xdr:col>9</xdr:col>
          <xdr:colOff>769620</xdr:colOff>
          <xdr:row>3</xdr:row>
          <xdr:rowOff>182880</xdr:rowOff>
        </xdr:to>
        <xdr:sp macro="" textlink="">
          <xdr:nvSpPr>
            <xdr:cNvPr id="4098" name="TextBox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7620</xdr:rowOff>
        </xdr:from>
        <xdr:to>
          <xdr:col>10</xdr:col>
          <xdr:colOff>60960</xdr:colOff>
          <xdr:row>3</xdr:row>
          <xdr:rowOff>175260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716280</xdr:colOff>
          <xdr:row>5</xdr:row>
          <xdr:rowOff>30480</xdr:rowOff>
        </xdr:from>
        <xdr:to>
          <xdr:col>3</xdr:col>
          <xdr:colOff>259080</xdr:colOff>
          <xdr:row>5</xdr:row>
          <xdr:rowOff>160020</xdr:rowOff>
        </xdr:to>
        <xdr:sp macro="" textlink="">
          <xdr:nvSpPr>
            <xdr:cNvPr id="4100" name="Drop Down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9</xdr:col>
      <xdr:colOff>1009650</xdr:colOff>
      <xdr:row>8</xdr:row>
      <xdr:rowOff>57151</xdr:rowOff>
    </xdr:from>
    <xdr:to>
      <xdr:col>10</xdr:col>
      <xdr:colOff>199887</xdr:colOff>
      <xdr:row>9</xdr:row>
      <xdr:rowOff>76201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1247776"/>
          <a:ext cx="533262" cy="209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708660</xdr:colOff>
          <xdr:row>3</xdr:row>
          <xdr:rowOff>30480</xdr:rowOff>
        </xdr:from>
        <xdr:to>
          <xdr:col>2</xdr:col>
          <xdr:colOff>1676400</xdr:colOff>
          <xdr:row>3</xdr:row>
          <xdr:rowOff>182880</xdr:rowOff>
        </xdr:to>
        <xdr:sp macro="" textlink="">
          <xdr:nvSpPr>
            <xdr:cNvPr id="3073" name="TextBox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655320</xdr:colOff>
          <xdr:row>3</xdr:row>
          <xdr:rowOff>30480</xdr:rowOff>
        </xdr:from>
        <xdr:to>
          <xdr:col>9</xdr:col>
          <xdr:colOff>769620</xdr:colOff>
          <xdr:row>3</xdr:row>
          <xdr:rowOff>182880</xdr:rowOff>
        </xdr:to>
        <xdr:sp macro="" textlink="">
          <xdr:nvSpPr>
            <xdr:cNvPr id="3074" name="TextBox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7620</xdr:rowOff>
        </xdr:from>
        <xdr:to>
          <xdr:col>10</xdr:col>
          <xdr:colOff>60960</xdr:colOff>
          <xdr:row>3</xdr:row>
          <xdr:rowOff>175260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716280</xdr:colOff>
          <xdr:row>5</xdr:row>
          <xdr:rowOff>30480</xdr:rowOff>
        </xdr:from>
        <xdr:to>
          <xdr:col>2</xdr:col>
          <xdr:colOff>1661160</xdr:colOff>
          <xdr:row>5</xdr:row>
          <xdr:rowOff>160020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9</xdr:col>
      <xdr:colOff>1009650</xdr:colOff>
      <xdr:row>8</xdr:row>
      <xdr:rowOff>47625</xdr:rowOff>
    </xdr:from>
    <xdr:to>
      <xdr:col>10</xdr:col>
      <xdr:colOff>199887</xdr:colOff>
      <xdr:row>9</xdr:row>
      <xdr:rowOff>115086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0675" y="1238250"/>
          <a:ext cx="533262" cy="257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.xml"/><Relationship Id="rId5" Type="http://schemas.openxmlformats.org/officeDocument/2006/relationships/image" Target="../media/image1.emf"/><Relationship Id="rId4" Type="http://schemas.openxmlformats.org/officeDocument/2006/relationships/control" Target="../activeX/activeX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6.xml"/><Relationship Id="rId5" Type="http://schemas.openxmlformats.org/officeDocument/2006/relationships/image" Target="../media/image1.emf"/><Relationship Id="rId4" Type="http://schemas.openxmlformats.org/officeDocument/2006/relationships/control" Target="../activeX/activeX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8.xml"/><Relationship Id="rId5" Type="http://schemas.openxmlformats.org/officeDocument/2006/relationships/image" Target="../media/image1.emf"/><Relationship Id="rId4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C2:G20"/>
  <sheetViews>
    <sheetView showGridLines="0" workbookViewId="0"/>
  </sheetViews>
  <sheetFormatPr defaultRowHeight="14.4" x14ac:dyDescent="0.3"/>
  <cols>
    <col min="3" max="3" width="2.88671875" customWidth="1"/>
    <col min="4" max="4" width="33.109375" customWidth="1"/>
    <col min="5" max="6" width="23.33203125" customWidth="1"/>
    <col min="7" max="7" width="2.88671875" customWidth="1"/>
  </cols>
  <sheetData>
    <row r="2" spans="3:7" ht="7.5" customHeight="1" x14ac:dyDescent="0.25">
      <c r="C2" s="6"/>
      <c r="D2" s="7"/>
      <c r="E2" s="7"/>
      <c r="F2" s="7"/>
      <c r="G2" s="8"/>
    </row>
    <row r="3" spans="3:7" ht="18.75" x14ac:dyDescent="0.3">
      <c r="C3" s="9"/>
      <c r="D3" s="17" t="s">
        <v>18</v>
      </c>
      <c r="E3" s="17"/>
      <c r="F3" s="17"/>
      <c r="G3" s="11"/>
    </row>
    <row r="4" spans="3:7" ht="15" x14ac:dyDescent="0.25">
      <c r="C4" s="9"/>
      <c r="D4" s="15" t="s">
        <v>11</v>
      </c>
      <c r="E4" s="15" t="s">
        <v>12</v>
      </c>
      <c r="F4" s="10"/>
      <c r="G4" s="11"/>
    </row>
    <row r="5" spans="3:7" ht="6.75" customHeight="1" x14ac:dyDescent="0.25">
      <c r="C5" s="12"/>
      <c r="D5" s="13"/>
      <c r="E5" s="13"/>
      <c r="F5" s="13"/>
      <c r="G5" s="14"/>
    </row>
    <row r="6" spans="3:7" ht="8.25" customHeight="1" x14ac:dyDescent="0.25"/>
    <row r="7" spans="3:7" ht="15" x14ac:dyDescent="0.25">
      <c r="C7" s="6"/>
      <c r="D7" s="7"/>
      <c r="E7" s="7"/>
      <c r="F7" s="7"/>
      <c r="G7" s="8"/>
    </row>
    <row r="8" spans="3:7" ht="18.75" x14ac:dyDescent="0.3">
      <c r="C8" s="9"/>
      <c r="D8" s="17" t="s">
        <v>10</v>
      </c>
      <c r="E8" s="17"/>
      <c r="F8" s="17"/>
      <c r="G8" s="11"/>
    </row>
    <row r="9" spans="3:7" ht="15" x14ac:dyDescent="0.25">
      <c r="C9" s="9"/>
      <c r="D9" s="15" t="s">
        <v>13</v>
      </c>
      <c r="E9" s="10"/>
      <c r="F9" s="15" t="s">
        <v>15</v>
      </c>
      <c r="G9" s="11"/>
    </row>
    <row r="10" spans="3:7" ht="15" x14ac:dyDescent="0.25">
      <c r="C10" s="9"/>
      <c r="D10" s="15" t="s">
        <v>14</v>
      </c>
      <c r="E10" s="10"/>
      <c r="F10" s="15" t="s">
        <v>16</v>
      </c>
      <c r="G10" s="11"/>
    </row>
    <row r="11" spans="3:7" ht="15" x14ac:dyDescent="0.25">
      <c r="C11" s="9"/>
      <c r="D11" s="10"/>
      <c r="E11" s="10"/>
      <c r="F11" s="10"/>
      <c r="G11" s="11"/>
    </row>
    <row r="12" spans="3:7" ht="15" x14ac:dyDescent="0.25">
      <c r="C12" s="9"/>
      <c r="D12" s="5" t="s">
        <v>6</v>
      </c>
      <c r="E12" s="5" t="s">
        <v>7</v>
      </c>
      <c r="F12" s="5" t="s">
        <v>8</v>
      </c>
      <c r="G12" s="11"/>
    </row>
    <row r="13" spans="3:7" ht="15" x14ac:dyDescent="0.25">
      <c r="C13" s="9"/>
      <c r="D13" s="1" t="s">
        <v>0</v>
      </c>
      <c r="E13" s="1">
        <v>20</v>
      </c>
      <c r="F13" s="2">
        <f>E13/E19</f>
        <v>0.29850746268656714</v>
      </c>
      <c r="G13" s="11"/>
    </row>
    <row r="14" spans="3:7" ht="15" x14ac:dyDescent="0.25">
      <c r="C14" s="9"/>
      <c r="D14" s="1" t="s">
        <v>1</v>
      </c>
      <c r="E14" s="1">
        <v>12</v>
      </c>
      <c r="F14" s="2">
        <f>E14/E19</f>
        <v>0.17910447761194029</v>
      </c>
      <c r="G14" s="11"/>
    </row>
    <row r="15" spans="3:7" ht="15" x14ac:dyDescent="0.25">
      <c r="C15" s="9"/>
      <c r="D15" s="1" t="s">
        <v>2</v>
      </c>
      <c r="E15" s="1">
        <v>12</v>
      </c>
      <c r="F15" s="2">
        <f>E15/E19</f>
        <v>0.17910447761194029</v>
      </c>
      <c r="G15" s="11"/>
    </row>
    <row r="16" spans="3:7" ht="15" x14ac:dyDescent="0.25">
      <c r="C16" s="9"/>
      <c r="D16" s="1" t="s">
        <v>3</v>
      </c>
      <c r="E16" s="1">
        <v>10</v>
      </c>
      <c r="F16" s="2">
        <f>E16/E19</f>
        <v>0.14925373134328357</v>
      </c>
      <c r="G16" s="11"/>
    </row>
    <row r="17" spans="3:7" ht="15" x14ac:dyDescent="0.25">
      <c r="C17" s="9"/>
      <c r="D17" s="1" t="s">
        <v>4</v>
      </c>
      <c r="E17" s="1">
        <v>5</v>
      </c>
      <c r="F17" s="2">
        <f>E17/E19</f>
        <v>7.4626865671641784E-2</v>
      </c>
      <c r="G17" s="11"/>
    </row>
    <row r="18" spans="3:7" ht="15" x14ac:dyDescent="0.25">
      <c r="C18" s="9"/>
      <c r="D18" s="1" t="s">
        <v>5</v>
      </c>
      <c r="E18" s="1">
        <v>8</v>
      </c>
      <c r="F18" s="2">
        <f>E18/E19</f>
        <v>0.11940298507462686</v>
      </c>
      <c r="G18" s="11"/>
    </row>
    <row r="19" spans="3:7" ht="15" x14ac:dyDescent="0.25">
      <c r="C19" s="9"/>
      <c r="D19" s="3" t="s">
        <v>9</v>
      </c>
      <c r="E19" s="3">
        <f>SUM(E13:E18)</f>
        <v>67</v>
      </c>
      <c r="F19" s="4">
        <f>SUM(F13:F18)</f>
        <v>0.99999999999999989</v>
      </c>
      <c r="G19" s="11"/>
    </row>
    <row r="20" spans="3:7" ht="15" x14ac:dyDescent="0.25">
      <c r="C20" s="12"/>
      <c r="D20" s="13"/>
      <c r="E20" s="13"/>
      <c r="F20" s="18" t="s">
        <v>17</v>
      </c>
      <c r="G20" s="19"/>
    </row>
  </sheetData>
  <mergeCells count="3">
    <mergeCell ref="D8:F8"/>
    <mergeCell ref="F20:G20"/>
    <mergeCell ref="D3:F3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extBox1">
          <controlPr defaultSize="0" autoLine="0" r:id="rId5">
            <anchor moveWithCells="1">
              <from>
                <xdr:col>3</xdr:col>
                <xdr:colOff>655320</xdr:colOff>
                <xdr:row>3</xdr:row>
                <xdr:rowOff>30480</xdr:rowOff>
              </from>
              <to>
                <xdr:col>3</xdr:col>
                <xdr:colOff>1630680</xdr:colOff>
                <xdr:row>3</xdr:row>
                <xdr:rowOff>182880</xdr:rowOff>
              </to>
            </anchor>
          </controlPr>
        </control>
      </mc:Choice>
      <mc:Fallback>
        <control shapeId="1025" r:id="rId4" name="TextBox1"/>
      </mc:Fallback>
    </mc:AlternateContent>
    <mc:AlternateContent xmlns:mc="http://schemas.openxmlformats.org/markup-compatibility/2006">
      <mc:Choice Requires="x14">
        <control shapeId="1026" r:id="rId6" name="TextBox2">
          <controlPr defaultSize="0" autoLine="0" r:id="rId5">
            <anchor moveWithCells="1">
              <from>
                <xdr:col>4</xdr:col>
                <xdr:colOff>655320</xdr:colOff>
                <xdr:row>3</xdr:row>
                <xdr:rowOff>30480</xdr:rowOff>
              </from>
              <to>
                <xdr:col>5</xdr:col>
                <xdr:colOff>30480</xdr:colOff>
                <xdr:row>3</xdr:row>
                <xdr:rowOff>182880</xdr:rowOff>
              </to>
            </anchor>
          </controlPr>
        </control>
      </mc:Choice>
      <mc:Fallback>
        <control shapeId="1026" r:id="rId6" name="TextBox2"/>
      </mc:Fallback>
    </mc:AlternateContent>
    <mc:AlternateContent xmlns:mc="http://schemas.openxmlformats.org/markup-compatibility/2006">
      <mc:Choice Requires="x14">
        <control shapeId="1027" r:id="rId7" name="Button 3">
          <controlPr defaultSize="0" print="0" autoFill="0" autoPict="0" macro="[0]!Button3_Click">
            <anchor moveWithCells="1" sizeWithCells="1">
              <from>
                <xdr:col>5</xdr:col>
                <xdr:colOff>952500</xdr:colOff>
                <xdr:row>3</xdr:row>
                <xdr:rowOff>7620</xdr:rowOff>
              </from>
              <to>
                <xdr:col>6</xdr:col>
                <xdr:colOff>60960</xdr:colOff>
                <xdr:row>3</xdr:row>
                <xdr:rowOff>175260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2:K35"/>
  <sheetViews>
    <sheetView showGridLines="0" workbookViewId="0">
      <selection activeCell="L11" sqref="L11"/>
    </sheetView>
  </sheetViews>
  <sheetFormatPr defaultRowHeight="14.4" x14ac:dyDescent="0.3"/>
  <cols>
    <col min="2" max="2" width="4.109375" customWidth="1"/>
    <col min="3" max="3" width="29.5546875" customWidth="1"/>
    <col min="4" max="4" width="7.88671875" bestFit="1" customWidth="1"/>
    <col min="5" max="5" width="8.44140625" bestFit="1" customWidth="1"/>
    <col min="6" max="6" width="26.109375" customWidth="1"/>
    <col min="7" max="7" width="12.6640625" customWidth="1"/>
    <col min="8" max="8" width="12.44140625" customWidth="1"/>
    <col min="9" max="9" width="12.5546875" customWidth="1"/>
    <col min="10" max="10" width="20.109375" customWidth="1"/>
    <col min="11" max="11" width="3.6640625" customWidth="1"/>
  </cols>
  <sheetData>
    <row r="2" spans="2:11" ht="7.5" customHeight="1" x14ac:dyDescent="0.25">
      <c r="B2" s="6"/>
      <c r="C2" s="7"/>
      <c r="D2" s="7"/>
      <c r="E2" s="7"/>
      <c r="F2" s="7"/>
      <c r="G2" s="7"/>
      <c r="H2" s="7"/>
      <c r="I2" s="7"/>
      <c r="J2" s="7"/>
      <c r="K2" s="8"/>
    </row>
    <row r="3" spans="2:11" ht="18.75" x14ac:dyDescent="0.3">
      <c r="B3" s="9"/>
      <c r="C3" s="17" t="s">
        <v>18</v>
      </c>
      <c r="D3" s="17"/>
      <c r="E3" s="17"/>
      <c r="F3" s="17"/>
      <c r="G3" s="17"/>
      <c r="H3" s="17"/>
      <c r="I3" s="17"/>
      <c r="J3" s="17"/>
      <c r="K3" s="11"/>
    </row>
    <row r="4" spans="2:11" ht="15" x14ac:dyDescent="0.25">
      <c r="B4" s="9"/>
      <c r="C4" s="15" t="s">
        <v>11</v>
      </c>
      <c r="D4" s="15"/>
      <c r="E4" s="15"/>
      <c r="F4" s="15"/>
      <c r="G4" s="15"/>
      <c r="H4" s="15"/>
      <c r="I4" s="15" t="s">
        <v>12</v>
      </c>
      <c r="J4" s="10"/>
      <c r="K4" s="11"/>
    </row>
    <row r="5" spans="2:11" ht="7.5" customHeight="1" x14ac:dyDescent="0.25">
      <c r="B5" s="9"/>
      <c r="C5" s="15"/>
      <c r="D5" s="15"/>
      <c r="E5" s="15"/>
      <c r="F5" s="15"/>
      <c r="G5" s="15"/>
      <c r="H5" s="15"/>
      <c r="I5" s="15"/>
      <c r="J5" s="10"/>
      <c r="K5" s="11"/>
    </row>
    <row r="6" spans="2:11" ht="15" x14ac:dyDescent="0.25">
      <c r="B6" s="9"/>
      <c r="C6" s="15" t="s">
        <v>19</v>
      </c>
      <c r="D6" s="15"/>
      <c r="E6" s="15"/>
      <c r="F6" s="15"/>
      <c r="G6" s="15"/>
      <c r="H6" s="15"/>
      <c r="I6" s="15"/>
      <c r="J6" s="10"/>
      <c r="K6" s="11"/>
    </row>
    <row r="7" spans="2:11" ht="6.75" customHeight="1" x14ac:dyDescent="0.25">
      <c r="B7" s="12"/>
      <c r="C7" s="13"/>
      <c r="D7" s="13"/>
      <c r="E7" s="13"/>
      <c r="F7" s="13"/>
      <c r="G7" s="13"/>
      <c r="H7" s="13"/>
      <c r="I7" s="13"/>
      <c r="J7" s="13"/>
      <c r="K7" s="14"/>
    </row>
    <row r="8" spans="2:11" ht="8.25" customHeight="1" x14ac:dyDescent="0.25"/>
    <row r="9" spans="2:11" x14ac:dyDescent="0.3">
      <c r="B9" s="6"/>
      <c r="C9" s="20" t="s">
        <v>23</v>
      </c>
      <c r="D9" s="20"/>
      <c r="E9" s="20"/>
      <c r="F9" s="20"/>
      <c r="G9" s="20"/>
      <c r="H9" s="20"/>
      <c r="I9" s="20"/>
      <c r="J9" s="20"/>
      <c r="K9" s="8"/>
    </row>
    <row r="10" spans="2:11" ht="18.75" customHeight="1" x14ac:dyDescent="0.3">
      <c r="B10" s="9"/>
      <c r="C10" s="21"/>
      <c r="D10" s="21"/>
      <c r="E10" s="21"/>
      <c r="F10" s="21"/>
      <c r="G10" s="21"/>
      <c r="H10" s="21"/>
      <c r="I10" s="21"/>
      <c r="J10" s="21"/>
      <c r="K10" s="11"/>
    </row>
    <row r="11" spans="2:11" ht="15" x14ac:dyDescent="0.25">
      <c r="B11" s="9"/>
      <c r="C11" s="15" t="s">
        <v>13</v>
      </c>
      <c r="D11" s="15"/>
      <c r="E11" s="15"/>
      <c r="F11" s="15"/>
      <c r="G11" s="15"/>
      <c r="H11" s="15"/>
      <c r="I11" s="10"/>
      <c r="J11" s="15" t="s">
        <v>15</v>
      </c>
      <c r="K11" s="11"/>
    </row>
    <row r="12" spans="2:11" ht="15" x14ac:dyDescent="0.25">
      <c r="B12" s="9"/>
      <c r="C12" s="15" t="s">
        <v>14</v>
      </c>
      <c r="D12" s="15"/>
      <c r="E12" s="15"/>
      <c r="F12" s="15"/>
      <c r="G12" s="15"/>
      <c r="H12" s="15"/>
      <c r="I12" s="10"/>
      <c r="J12" s="15" t="s">
        <v>16</v>
      </c>
      <c r="K12" s="11"/>
    </row>
    <row r="13" spans="2:11" ht="15" x14ac:dyDescent="0.25">
      <c r="B13" s="9"/>
      <c r="C13" s="15" t="s">
        <v>24</v>
      </c>
      <c r="D13" s="15"/>
      <c r="E13" s="15"/>
      <c r="F13" s="15"/>
      <c r="G13" s="15"/>
      <c r="H13" s="15"/>
      <c r="I13" s="10"/>
      <c r="J13" s="15"/>
      <c r="K13" s="11"/>
    </row>
    <row r="14" spans="2:11" ht="7.5" customHeight="1" x14ac:dyDescent="0.25">
      <c r="B14" s="9"/>
      <c r="C14" s="10"/>
      <c r="D14" s="10"/>
      <c r="E14" s="10"/>
      <c r="F14" s="10"/>
      <c r="G14" s="10"/>
      <c r="H14" s="10"/>
      <c r="I14" s="10"/>
      <c r="J14" s="10"/>
      <c r="K14" s="11"/>
    </row>
    <row r="15" spans="2:11" ht="15" x14ac:dyDescent="0.25">
      <c r="B15" s="9"/>
      <c r="C15" s="16" t="s">
        <v>19</v>
      </c>
      <c r="D15" s="16" t="s">
        <v>25</v>
      </c>
      <c r="E15" s="16" t="s">
        <v>26</v>
      </c>
      <c r="F15" s="16" t="s">
        <v>6</v>
      </c>
      <c r="G15" s="16" t="s">
        <v>27</v>
      </c>
      <c r="H15" s="16" t="s">
        <v>28</v>
      </c>
      <c r="I15" s="16" t="s">
        <v>7</v>
      </c>
      <c r="J15" s="16" t="s">
        <v>8</v>
      </c>
      <c r="K15" s="11"/>
    </row>
    <row r="16" spans="2:11" x14ac:dyDescent="0.3">
      <c r="B16" s="9"/>
      <c r="C16" s="22" t="s">
        <v>20</v>
      </c>
      <c r="D16" s="25">
        <f>SUM(I16:I21)</f>
        <v>344</v>
      </c>
      <c r="E16" s="31">
        <f>D16/I34*100</f>
        <v>41.646489104116228</v>
      </c>
      <c r="F16" s="1" t="s">
        <v>0</v>
      </c>
      <c r="G16" s="1">
        <v>10</v>
      </c>
      <c r="H16" s="1">
        <v>10</v>
      </c>
      <c r="I16" s="1">
        <f>G16+H16</f>
        <v>20</v>
      </c>
      <c r="J16" s="2">
        <f t="shared" ref="J16:J33" si="0">I16/$I$34</f>
        <v>2.4213075060532687E-2</v>
      </c>
      <c r="K16" s="11"/>
    </row>
    <row r="17" spans="2:11" x14ac:dyDescent="0.3">
      <c r="B17" s="9"/>
      <c r="C17" s="23"/>
      <c r="D17" s="26"/>
      <c r="E17" s="32"/>
      <c r="F17" s="1" t="s">
        <v>1</v>
      </c>
      <c r="G17" s="1">
        <v>10</v>
      </c>
      <c r="H17" s="1">
        <v>10</v>
      </c>
      <c r="I17" s="1">
        <f t="shared" ref="I17:I33" si="1">G17+H17</f>
        <v>20</v>
      </c>
      <c r="J17" s="2">
        <f t="shared" si="0"/>
        <v>2.4213075060532687E-2</v>
      </c>
      <c r="K17" s="11"/>
    </row>
    <row r="18" spans="2:11" x14ac:dyDescent="0.3">
      <c r="B18" s="9"/>
      <c r="C18" s="23"/>
      <c r="D18" s="26"/>
      <c r="E18" s="32"/>
      <c r="F18" s="1" t="s">
        <v>2</v>
      </c>
      <c r="G18" s="1">
        <v>15</v>
      </c>
      <c r="H18" s="1">
        <v>15</v>
      </c>
      <c r="I18" s="1">
        <f t="shared" si="1"/>
        <v>30</v>
      </c>
      <c r="J18" s="2">
        <f t="shared" si="0"/>
        <v>3.6319612590799029E-2</v>
      </c>
      <c r="K18" s="11"/>
    </row>
    <row r="19" spans="2:11" x14ac:dyDescent="0.3">
      <c r="B19" s="9"/>
      <c r="C19" s="23"/>
      <c r="D19" s="26"/>
      <c r="E19" s="32"/>
      <c r="F19" s="1" t="s">
        <v>3</v>
      </c>
      <c r="G19" s="1">
        <v>24</v>
      </c>
      <c r="H19" s="1">
        <v>24</v>
      </c>
      <c r="I19" s="1">
        <f t="shared" si="1"/>
        <v>48</v>
      </c>
      <c r="J19" s="2">
        <f t="shared" si="0"/>
        <v>5.8111380145278453E-2</v>
      </c>
      <c r="K19" s="11"/>
    </row>
    <row r="20" spans="2:11" x14ac:dyDescent="0.3">
      <c r="B20" s="9"/>
      <c r="C20" s="23"/>
      <c r="D20" s="26"/>
      <c r="E20" s="32"/>
      <c r="F20" s="1" t="s">
        <v>4</v>
      </c>
      <c r="G20" s="1">
        <v>51</v>
      </c>
      <c r="H20" s="1">
        <v>51</v>
      </c>
      <c r="I20" s="1">
        <f t="shared" si="1"/>
        <v>102</v>
      </c>
      <c r="J20" s="2">
        <f t="shared" si="0"/>
        <v>0.12348668280871671</v>
      </c>
      <c r="K20" s="11"/>
    </row>
    <row r="21" spans="2:11" x14ac:dyDescent="0.3">
      <c r="B21" s="9"/>
      <c r="C21" s="24"/>
      <c r="D21" s="27"/>
      <c r="E21" s="33"/>
      <c r="F21" s="1" t="s">
        <v>5</v>
      </c>
      <c r="G21" s="1">
        <v>62</v>
      </c>
      <c r="H21" s="1">
        <v>62</v>
      </c>
      <c r="I21" s="1">
        <f t="shared" si="1"/>
        <v>124</v>
      </c>
      <c r="J21" s="2">
        <f t="shared" si="0"/>
        <v>0.15012106537530268</v>
      </c>
      <c r="K21" s="11"/>
    </row>
    <row r="22" spans="2:11" x14ac:dyDescent="0.3">
      <c r="B22" s="9"/>
      <c r="C22" s="22" t="s">
        <v>21</v>
      </c>
      <c r="D22" s="25">
        <f>SUM(I22:I27)</f>
        <v>134</v>
      </c>
      <c r="E22" s="31">
        <f>D22/I34%</f>
        <v>16.222760290556902</v>
      </c>
      <c r="F22" s="1" t="s">
        <v>0</v>
      </c>
      <c r="G22" s="1">
        <v>20</v>
      </c>
      <c r="H22" s="1">
        <v>20</v>
      </c>
      <c r="I22" s="1">
        <f t="shared" si="1"/>
        <v>40</v>
      </c>
      <c r="J22" s="2">
        <f t="shared" si="0"/>
        <v>4.8426150121065374E-2</v>
      </c>
      <c r="K22" s="11"/>
    </row>
    <row r="23" spans="2:11" x14ac:dyDescent="0.3">
      <c r="B23" s="9"/>
      <c r="C23" s="23"/>
      <c r="D23" s="26"/>
      <c r="E23" s="32"/>
      <c r="F23" s="1" t="s">
        <v>1</v>
      </c>
      <c r="G23" s="1">
        <v>12</v>
      </c>
      <c r="H23" s="1">
        <v>12</v>
      </c>
      <c r="I23" s="1">
        <f t="shared" si="1"/>
        <v>24</v>
      </c>
      <c r="J23" s="2">
        <f t="shared" si="0"/>
        <v>2.9055690072639227E-2</v>
      </c>
      <c r="K23" s="11"/>
    </row>
    <row r="24" spans="2:11" x14ac:dyDescent="0.3">
      <c r="B24" s="9"/>
      <c r="C24" s="23"/>
      <c r="D24" s="26"/>
      <c r="E24" s="32"/>
      <c r="F24" s="1" t="s">
        <v>2</v>
      </c>
      <c r="G24" s="1">
        <v>12</v>
      </c>
      <c r="H24" s="1">
        <v>12</v>
      </c>
      <c r="I24" s="1">
        <f t="shared" si="1"/>
        <v>24</v>
      </c>
      <c r="J24" s="2">
        <f t="shared" si="0"/>
        <v>2.9055690072639227E-2</v>
      </c>
      <c r="K24" s="11"/>
    </row>
    <row r="25" spans="2:11" x14ac:dyDescent="0.3">
      <c r="B25" s="9"/>
      <c r="C25" s="23"/>
      <c r="D25" s="26"/>
      <c r="E25" s="32"/>
      <c r="F25" s="1" t="s">
        <v>3</v>
      </c>
      <c r="G25" s="1">
        <v>10</v>
      </c>
      <c r="H25" s="1">
        <v>10</v>
      </c>
      <c r="I25" s="1">
        <f t="shared" si="1"/>
        <v>20</v>
      </c>
      <c r="J25" s="2">
        <f t="shared" si="0"/>
        <v>2.4213075060532687E-2</v>
      </c>
      <c r="K25" s="11"/>
    </row>
    <row r="26" spans="2:11" x14ac:dyDescent="0.3">
      <c r="B26" s="9"/>
      <c r="C26" s="23"/>
      <c r="D26" s="26"/>
      <c r="E26" s="32"/>
      <c r="F26" s="1" t="s">
        <v>4</v>
      </c>
      <c r="G26" s="1">
        <v>5</v>
      </c>
      <c r="H26" s="1">
        <v>5</v>
      </c>
      <c r="I26" s="1">
        <f t="shared" si="1"/>
        <v>10</v>
      </c>
      <c r="J26" s="2">
        <f t="shared" si="0"/>
        <v>1.2106537530266344E-2</v>
      </c>
      <c r="K26" s="11"/>
    </row>
    <row r="27" spans="2:11" x14ac:dyDescent="0.3">
      <c r="B27" s="9"/>
      <c r="C27" s="24"/>
      <c r="D27" s="27"/>
      <c r="E27" s="33"/>
      <c r="F27" s="1" t="s">
        <v>5</v>
      </c>
      <c r="G27" s="1">
        <v>8</v>
      </c>
      <c r="H27" s="1">
        <v>8</v>
      </c>
      <c r="I27" s="1">
        <f t="shared" si="1"/>
        <v>16</v>
      </c>
      <c r="J27" s="2">
        <f t="shared" si="0"/>
        <v>1.9370460048426151E-2</v>
      </c>
      <c r="K27" s="11"/>
    </row>
    <row r="28" spans="2:11" x14ac:dyDescent="0.3">
      <c r="B28" s="9"/>
      <c r="C28" s="22" t="s">
        <v>22</v>
      </c>
      <c r="D28" s="25">
        <f>SUM(I28:I33)</f>
        <v>348</v>
      </c>
      <c r="E28" s="31">
        <f>D28/I34%</f>
        <v>42.130750605326881</v>
      </c>
      <c r="F28" s="1" t="s">
        <v>0</v>
      </c>
      <c r="G28" s="1">
        <v>25</v>
      </c>
      <c r="H28" s="1">
        <v>25</v>
      </c>
      <c r="I28" s="1">
        <f t="shared" si="1"/>
        <v>50</v>
      </c>
      <c r="J28" s="2">
        <f t="shared" si="0"/>
        <v>6.0532687651331719E-2</v>
      </c>
      <c r="K28" s="11"/>
    </row>
    <row r="29" spans="2:11" x14ac:dyDescent="0.3">
      <c r="B29" s="9"/>
      <c r="C29" s="23"/>
      <c r="D29" s="26"/>
      <c r="E29" s="32"/>
      <c r="F29" s="1" t="s">
        <v>1</v>
      </c>
      <c r="G29" s="1">
        <v>25</v>
      </c>
      <c r="H29" s="1">
        <v>25</v>
      </c>
      <c r="I29" s="1">
        <f t="shared" si="1"/>
        <v>50</v>
      </c>
      <c r="J29" s="2">
        <f t="shared" si="0"/>
        <v>6.0532687651331719E-2</v>
      </c>
      <c r="K29" s="11"/>
    </row>
    <row r="30" spans="2:11" x14ac:dyDescent="0.3">
      <c r="B30" s="9"/>
      <c r="C30" s="23"/>
      <c r="D30" s="26"/>
      <c r="E30" s="32"/>
      <c r="F30" s="1" t="s">
        <v>2</v>
      </c>
      <c r="G30" s="1">
        <v>94</v>
      </c>
      <c r="H30" s="1">
        <v>94</v>
      </c>
      <c r="I30" s="1">
        <f t="shared" si="1"/>
        <v>188</v>
      </c>
      <c r="J30" s="2">
        <f t="shared" si="0"/>
        <v>0.22760290556900725</v>
      </c>
      <c r="K30" s="11"/>
    </row>
    <row r="31" spans="2:11" x14ac:dyDescent="0.3">
      <c r="B31" s="9"/>
      <c r="C31" s="23"/>
      <c r="D31" s="26"/>
      <c r="E31" s="32"/>
      <c r="F31" s="1" t="s">
        <v>3</v>
      </c>
      <c r="G31" s="1">
        <v>23</v>
      </c>
      <c r="H31" s="1">
        <v>23</v>
      </c>
      <c r="I31" s="1">
        <f t="shared" si="1"/>
        <v>46</v>
      </c>
      <c r="J31" s="2">
        <f t="shared" si="0"/>
        <v>5.569007263922518E-2</v>
      </c>
      <c r="K31" s="11"/>
    </row>
    <row r="32" spans="2:11" x14ac:dyDescent="0.3">
      <c r="B32" s="9"/>
      <c r="C32" s="23"/>
      <c r="D32" s="26"/>
      <c r="E32" s="32"/>
      <c r="F32" s="1" t="s">
        <v>4</v>
      </c>
      <c r="G32" s="1">
        <v>5</v>
      </c>
      <c r="H32" s="1">
        <v>5</v>
      </c>
      <c r="I32" s="1">
        <f t="shared" si="1"/>
        <v>10</v>
      </c>
      <c r="J32" s="2">
        <f t="shared" si="0"/>
        <v>1.2106537530266344E-2</v>
      </c>
      <c r="K32" s="11"/>
    </row>
    <row r="33" spans="2:11" x14ac:dyDescent="0.3">
      <c r="B33" s="9"/>
      <c r="C33" s="24"/>
      <c r="D33" s="27"/>
      <c r="E33" s="33"/>
      <c r="F33" s="1" t="s">
        <v>5</v>
      </c>
      <c r="G33" s="1">
        <v>2</v>
      </c>
      <c r="H33" s="1">
        <v>2</v>
      </c>
      <c r="I33" s="1">
        <f t="shared" si="1"/>
        <v>4</v>
      </c>
      <c r="J33" s="2">
        <f t="shared" si="0"/>
        <v>4.8426150121065378E-3</v>
      </c>
      <c r="K33" s="11"/>
    </row>
    <row r="34" spans="2:11" x14ac:dyDescent="0.3">
      <c r="B34" s="9"/>
      <c r="C34" s="28" t="s">
        <v>9</v>
      </c>
      <c r="D34" s="29"/>
      <c r="E34" s="29"/>
      <c r="F34" s="30"/>
      <c r="G34" s="3">
        <f t="shared" ref="G34:H34" si="2">SUM(G16:G33)</f>
        <v>413</v>
      </c>
      <c r="H34" s="3">
        <f t="shared" si="2"/>
        <v>413</v>
      </c>
      <c r="I34" s="3">
        <f>SUM(I16:I33)</f>
        <v>826</v>
      </c>
      <c r="J34" s="4">
        <f>SUM(J16:J33)</f>
        <v>1</v>
      </c>
      <c r="K34" s="11"/>
    </row>
    <row r="35" spans="2:11" x14ac:dyDescent="0.3">
      <c r="B35" s="12"/>
      <c r="C35" s="13"/>
      <c r="D35" s="13"/>
      <c r="E35" s="13"/>
      <c r="F35" s="13"/>
      <c r="G35" s="13"/>
      <c r="H35" s="13"/>
      <c r="I35" s="13"/>
      <c r="J35" s="18" t="s">
        <v>17</v>
      </c>
      <c r="K35" s="19"/>
    </row>
  </sheetData>
  <mergeCells count="13">
    <mergeCell ref="C3:J3"/>
    <mergeCell ref="J35:K35"/>
    <mergeCell ref="C9:J10"/>
    <mergeCell ref="C16:C21"/>
    <mergeCell ref="C22:C27"/>
    <mergeCell ref="C28:C33"/>
    <mergeCell ref="D16:D21"/>
    <mergeCell ref="C34:F34"/>
    <mergeCell ref="E16:E21"/>
    <mergeCell ref="D22:D27"/>
    <mergeCell ref="E22:E27"/>
    <mergeCell ref="D28:D33"/>
    <mergeCell ref="E28:E33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TextBox1">
          <controlPr defaultSize="0" autoLine="0" r:id="rId5">
            <anchor moveWithCells="1">
              <from>
                <xdr:col>2</xdr:col>
                <xdr:colOff>708660</xdr:colOff>
                <xdr:row>3</xdr:row>
                <xdr:rowOff>30480</xdr:rowOff>
              </from>
              <to>
                <xdr:col>2</xdr:col>
                <xdr:colOff>1684020</xdr:colOff>
                <xdr:row>3</xdr:row>
                <xdr:rowOff>182880</xdr:rowOff>
              </to>
            </anchor>
          </controlPr>
        </control>
      </mc:Choice>
      <mc:Fallback>
        <control shapeId="2049" r:id="rId4" name="TextBox1"/>
      </mc:Fallback>
    </mc:AlternateContent>
    <mc:AlternateContent xmlns:mc="http://schemas.openxmlformats.org/markup-compatibility/2006">
      <mc:Choice Requires="x14">
        <control shapeId="2050" r:id="rId6" name="TextBox2">
          <controlPr defaultSize="0" autoLine="0" r:id="rId5">
            <anchor moveWithCells="1">
              <from>
                <xdr:col>8</xdr:col>
                <xdr:colOff>655320</xdr:colOff>
                <xdr:row>3</xdr:row>
                <xdr:rowOff>30480</xdr:rowOff>
              </from>
              <to>
                <xdr:col>9</xdr:col>
                <xdr:colOff>769620</xdr:colOff>
                <xdr:row>3</xdr:row>
                <xdr:rowOff>182880</xdr:rowOff>
              </to>
            </anchor>
          </controlPr>
        </control>
      </mc:Choice>
      <mc:Fallback>
        <control shapeId="2050" r:id="rId6" name="TextBox2"/>
      </mc:Fallback>
    </mc:AlternateContent>
    <mc:AlternateContent xmlns:mc="http://schemas.openxmlformats.org/markup-compatibility/2006">
      <mc:Choice Requires="x14">
        <control shapeId="2051" r:id="rId7" name="Button 3">
          <controlPr defaultSize="0" print="0" autoFill="0" autoPict="0" macro="[0]!Button3_Click">
            <anchor moveWithCells="1" sizeWithCells="1">
              <from>
                <xdr:col>9</xdr:col>
                <xdr:colOff>952500</xdr:colOff>
                <xdr:row>3</xdr:row>
                <xdr:rowOff>7620</xdr:rowOff>
              </from>
              <to>
                <xdr:col>10</xdr:col>
                <xdr:colOff>60960</xdr:colOff>
                <xdr:row>3</xdr:row>
                <xdr:rowOff>175260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2" r:id="rId8" name="Drop Down 4">
          <controlPr defaultSize="0" autoLine="0" autoPict="0">
            <anchor moveWithCells="1">
              <from>
                <xdr:col>2</xdr:col>
                <xdr:colOff>716280</xdr:colOff>
                <xdr:row>5</xdr:row>
                <xdr:rowOff>30480</xdr:rowOff>
              </from>
              <to>
                <xdr:col>2</xdr:col>
                <xdr:colOff>1661160</xdr:colOff>
                <xdr:row>5</xdr:row>
                <xdr:rowOff>160020</xdr:rowOff>
              </to>
            </anchor>
          </controlPr>
        </control>
      </mc:Choice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B2:K32"/>
  <sheetViews>
    <sheetView showGridLines="0" workbookViewId="0">
      <selection activeCell="M11" sqref="M11"/>
    </sheetView>
  </sheetViews>
  <sheetFormatPr defaultRowHeight="14.4" x14ac:dyDescent="0.3"/>
  <cols>
    <col min="2" max="2" width="4.109375" customWidth="1"/>
    <col min="3" max="3" width="21" customWidth="1"/>
    <col min="4" max="4" width="9.33203125" customWidth="1"/>
    <col min="5" max="5" width="8.5546875" customWidth="1"/>
    <col min="6" max="6" width="22.6640625" customWidth="1"/>
    <col min="7" max="7" width="14.109375" customWidth="1"/>
    <col min="8" max="8" width="12.44140625" customWidth="1"/>
    <col min="9" max="9" width="12.5546875" customWidth="1"/>
    <col min="10" max="10" width="20.109375" customWidth="1"/>
    <col min="11" max="11" width="3.6640625" customWidth="1"/>
  </cols>
  <sheetData>
    <row r="2" spans="2:11" ht="7.5" customHeight="1" x14ac:dyDescent="0.25">
      <c r="B2" s="6"/>
      <c r="C2" s="7"/>
      <c r="D2" s="7"/>
      <c r="E2" s="7"/>
      <c r="F2" s="7"/>
      <c r="G2" s="7"/>
      <c r="H2" s="7"/>
      <c r="I2" s="7"/>
      <c r="J2" s="7"/>
      <c r="K2" s="8"/>
    </row>
    <row r="3" spans="2:11" ht="18.75" x14ac:dyDescent="0.3">
      <c r="B3" s="9"/>
      <c r="C3" s="17" t="s">
        <v>18</v>
      </c>
      <c r="D3" s="17"/>
      <c r="E3" s="17"/>
      <c r="F3" s="17"/>
      <c r="G3" s="17"/>
      <c r="H3" s="17"/>
      <c r="I3" s="17"/>
      <c r="J3" s="17"/>
      <c r="K3" s="11"/>
    </row>
    <row r="4" spans="2:11" ht="15" x14ac:dyDescent="0.25">
      <c r="B4" s="9"/>
      <c r="C4" s="15" t="s">
        <v>11</v>
      </c>
      <c r="D4" s="15"/>
      <c r="E4" s="15"/>
      <c r="F4" s="15"/>
      <c r="G4" s="15"/>
      <c r="H4" s="15"/>
      <c r="I4" s="15" t="s">
        <v>12</v>
      </c>
      <c r="J4" s="10"/>
      <c r="K4" s="11"/>
    </row>
    <row r="5" spans="2:11" ht="7.5" customHeight="1" x14ac:dyDescent="0.25">
      <c r="B5" s="9"/>
      <c r="C5" s="15"/>
      <c r="D5" s="15"/>
      <c r="E5" s="15"/>
      <c r="F5" s="15"/>
      <c r="G5" s="15"/>
      <c r="H5" s="15"/>
      <c r="I5" s="15"/>
      <c r="J5" s="10"/>
      <c r="K5" s="11"/>
    </row>
    <row r="6" spans="2:11" ht="15" x14ac:dyDescent="0.25">
      <c r="B6" s="9"/>
      <c r="C6" s="15" t="s">
        <v>19</v>
      </c>
      <c r="D6" s="15"/>
      <c r="E6" s="15"/>
      <c r="F6" s="15"/>
      <c r="G6" s="15"/>
      <c r="H6" s="15"/>
      <c r="I6" s="15"/>
      <c r="J6" s="10"/>
      <c r="K6" s="11"/>
    </row>
    <row r="7" spans="2:11" ht="6.75" customHeight="1" x14ac:dyDescent="0.25">
      <c r="B7" s="12"/>
      <c r="C7" s="13"/>
      <c r="D7" s="13"/>
      <c r="E7" s="13"/>
      <c r="F7" s="13"/>
      <c r="G7" s="13"/>
      <c r="H7" s="13"/>
      <c r="I7" s="13"/>
      <c r="J7" s="13"/>
      <c r="K7" s="14"/>
    </row>
    <row r="8" spans="2:11" ht="8.25" customHeight="1" x14ac:dyDescent="0.25"/>
    <row r="9" spans="2:11" x14ac:dyDescent="0.3">
      <c r="B9" s="6"/>
      <c r="C9" s="20" t="s">
        <v>40</v>
      </c>
      <c r="D9" s="20"/>
      <c r="E9" s="20"/>
      <c r="F9" s="20"/>
      <c r="G9" s="20"/>
      <c r="H9" s="20"/>
      <c r="I9" s="20"/>
      <c r="J9" s="20"/>
      <c r="K9" s="8"/>
    </row>
    <row r="10" spans="2:11" ht="18.75" customHeight="1" x14ac:dyDescent="0.3">
      <c r="B10" s="9"/>
      <c r="C10" s="21"/>
      <c r="D10" s="21"/>
      <c r="E10" s="21"/>
      <c r="F10" s="21"/>
      <c r="G10" s="21"/>
      <c r="H10" s="21"/>
      <c r="I10" s="21"/>
      <c r="J10" s="21"/>
      <c r="K10" s="11"/>
    </row>
    <row r="11" spans="2:11" ht="15" x14ac:dyDescent="0.25">
      <c r="B11" s="9"/>
      <c r="C11" s="15" t="s">
        <v>13</v>
      </c>
      <c r="D11" s="15"/>
      <c r="E11" s="15"/>
      <c r="F11" s="15"/>
      <c r="G11" s="15"/>
      <c r="H11" s="15"/>
      <c r="I11" s="10"/>
      <c r="J11" s="15" t="s">
        <v>15</v>
      </c>
      <c r="K11" s="11"/>
    </row>
    <row r="12" spans="2:11" ht="15" x14ac:dyDescent="0.25">
      <c r="B12" s="9"/>
      <c r="C12" s="15" t="s">
        <v>14</v>
      </c>
      <c r="D12" s="15"/>
      <c r="E12" s="15"/>
      <c r="F12" s="15"/>
      <c r="G12" s="15"/>
      <c r="H12" s="15"/>
      <c r="I12" s="10"/>
      <c r="J12" s="15" t="s">
        <v>16</v>
      </c>
      <c r="K12" s="11"/>
    </row>
    <row r="13" spans="2:11" ht="15" x14ac:dyDescent="0.25">
      <c r="B13" s="9"/>
      <c r="C13" s="15" t="s">
        <v>24</v>
      </c>
      <c r="D13" s="15"/>
      <c r="E13" s="15"/>
      <c r="F13" s="15"/>
      <c r="G13" s="15"/>
      <c r="H13" s="15"/>
      <c r="I13" s="10"/>
      <c r="J13" s="15"/>
      <c r="K13" s="11"/>
    </row>
    <row r="14" spans="2:11" ht="7.5" customHeight="1" x14ac:dyDescent="0.25">
      <c r="B14" s="9"/>
      <c r="C14" s="10"/>
      <c r="D14" s="10"/>
      <c r="E14" s="10"/>
      <c r="F14" s="10"/>
      <c r="G14" s="10"/>
      <c r="H14" s="10"/>
      <c r="I14" s="10"/>
      <c r="J14" s="10"/>
      <c r="K14" s="11"/>
    </row>
    <row r="15" spans="2:11" ht="15" x14ac:dyDescent="0.25">
      <c r="B15" s="9"/>
      <c r="C15" s="16" t="s">
        <v>19</v>
      </c>
      <c r="D15" s="16" t="s">
        <v>25</v>
      </c>
      <c r="E15" s="16" t="s">
        <v>26</v>
      </c>
      <c r="F15" s="16" t="s">
        <v>33</v>
      </c>
      <c r="G15" s="16" t="s">
        <v>7</v>
      </c>
      <c r="H15" s="16" t="s">
        <v>27</v>
      </c>
      <c r="I15" s="16" t="s">
        <v>9</v>
      </c>
      <c r="J15" s="16" t="s">
        <v>8</v>
      </c>
      <c r="K15" s="11"/>
    </row>
    <row r="16" spans="2:11" x14ac:dyDescent="0.3">
      <c r="B16" s="9"/>
      <c r="C16" s="22" t="s">
        <v>20</v>
      </c>
      <c r="D16" s="31">
        <f>SUM(I16:I20)</f>
        <v>220</v>
      </c>
      <c r="E16" s="34">
        <f>D16/I31%</f>
        <v>32.258064516129032</v>
      </c>
      <c r="F16" s="1" t="s">
        <v>34</v>
      </c>
      <c r="G16" s="1">
        <v>10</v>
      </c>
      <c r="H16" s="1">
        <v>10</v>
      </c>
      <c r="I16" s="1">
        <f>G16+H16</f>
        <v>20</v>
      </c>
      <c r="J16" s="2">
        <f t="shared" ref="J16:J30" si="0">I16/$I$31</f>
        <v>2.932551319648094E-2</v>
      </c>
      <c r="K16" s="11"/>
    </row>
    <row r="17" spans="2:11" x14ac:dyDescent="0.3">
      <c r="B17" s="9"/>
      <c r="C17" s="23"/>
      <c r="D17" s="32"/>
      <c r="E17" s="35"/>
      <c r="F17" s="1" t="s">
        <v>35</v>
      </c>
      <c r="G17" s="1">
        <v>10</v>
      </c>
      <c r="H17" s="1">
        <v>10</v>
      </c>
      <c r="I17" s="1">
        <f t="shared" ref="I17:I30" si="1">G17+H17</f>
        <v>20</v>
      </c>
      <c r="J17" s="2">
        <f t="shared" si="0"/>
        <v>2.932551319648094E-2</v>
      </c>
      <c r="K17" s="11"/>
    </row>
    <row r="18" spans="2:11" x14ac:dyDescent="0.3">
      <c r="B18" s="9"/>
      <c r="C18" s="23"/>
      <c r="D18" s="32"/>
      <c r="E18" s="35"/>
      <c r="F18" s="1" t="s">
        <v>38</v>
      </c>
      <c r="G18" s="1">
        <v>15</v>
      </c>
      <c r="H18" s="1">
        <v>15</v>
      </c>
      <c r="I18" s="1">
        <f t="shared" si="1"/>
        <v>30</v>
      </c>
      <c r="J18" s="2">
        <f t="shared" si="0"/>
        <v>4.398826979472141E-2</v>
      </c>
      <c r="K18" s="11"/>
    </row>
    <row r="19" spans="2:11" x14ac:dyDescent="0.3">
      <c r="B19" s="9"/>
      <c r="C19" s="23"/>
      <c r="D19" s="32"/>
      <c r="E19" s="35"/>
      <c r="F19" s="1" t="s">
        <v>36</v>
      </c>
      <c r="G19" s="1">
        <v>24</v>
      </c>
      <c r="H19" s="1">
        <v>24</v>
      </c>
      <c r="I19" s="1">
        <f t="shared" si="1"/>
        <v>48</v>
      </c>
      <c r="J19" s="2">
        <f t="shared" si="0"/>
        <v>7.0381231671554259E-2</v>
      </c>
      <c r="K19" s="11"/>
    </row>
    <row r="20" spans="2:11" x14ac:dyDescent="0.3">
      <c r="B20" s="9"/>
      <c r="C20" s="23"/>
      <c r="D20" s="32"/>
      <c r="E20" s="35"/>
      <c r="F20" s="1" t="s">
        <v>37</v>
      </c>
      <c r="G20" s="1">
        <v>51</v>
      </c>
      <c r="H20" s="1">
        <v>51</v>
      </c>
      <c r="I20" s="1">
        <f t="shared" si="1"/>
        <v>102</v>
      </c>
      <c r="J20" s="2">
        <f t="shared" si="0"/>
        <v>0.14956011730205279</v>
      </c>
      <c r="K20" s="11"/>
    </row>
    <row r="21" spans="2:11" x14ac:dyDescent="0.3">
      <c r="B21" s="9"/>
      <c r="C21" s="22" t="s">
        <v>21</v>
      </c>
      <c r="D21" s="25">
        <f>SUM(I21:I25)</f>
        <v>118</v>
      </c>
      <c r="E21" s="34">
        <f>D21/I31%</f>
        <v>17.302052785923753</v>
      </c>
      <c r="F21" s="1" t="s">
        <v>34</v>
      </c>
      <c r="G21" s="1">
        <v>20</v>
      </c>
      <c r="H21" s="1">
        <v>20</v>
      </c>
      <c r="I21" s="1">
        <f t="shared" si="1"/>
        <v>40</v>
      </c>
      <c r="J21" s="2">
        <f t="shared" si="0"/>
        <v>5.865102639296188E-2</v>
      </c>
      <c r="K21" s="11"/>
    </row>
    <row r="22" spans="2:11" x14ac:dyDescent="0.3">
      <c r="B22" s="9"/>
      <c r="C22" s="23"/>
      <c r="D22" s="26"/>
      <c r="E22" s="35"/>
      <c r="F22" s="1" t="s">
        <v>35</v>
      </c>
      <c r="G22" s="1">
        <v>12</v>
      </c>
      <c r="H22" s="1">
        <v>12</v>
      </c>
      <c r="I22" s="1">
        <f t="shared" si="1"/>
        <v>24</v>
      </c>
      <c r="J22" s="2">
        <f t="shared" si="0"/>
        <v>3.519061583577713E-2</v>
      </c>
      <c r="K22" s="11"/>
    </row>
    <row r="23" spans="2:11" x14ac:dyDescent="0.3">
      <c r="B23" s="9"/>
      <c r="C23" s="23"/>
      <c r="D23" s="26"/>
      <c r="E23" s="35"/>
      <c r="F23" s="1" t="s">
        <v>38</v>
      </c>
      <c r="G23" s="1">
        <v>12</v>
      </c>
      <c r="H23" s="1">
        <v>12</v>
      </c>
      <c r="I23" s="1">
        <f t="shared" si="1"/>
        <v>24</v>
      </c>
      <c r="J23" s="2">
        <f t="shared" si="0"/>
        <v>3.519061583577713E-2</v>
      </c>
      <c r="K23" s="11"/>
    </row>
    <row r="24" spans="2:11" x14ac:dyDescent="0.3">
      <c r="B24" s="9"/>
      <c r="C24" s="23"/>
      <c r="D24" s="26"/>
      <c r="E24" s="35"/>
      <c r="F24" s="1" t="s">
        <v>36</v>
      </c>
      <c r="G24" s="1">
        <v>10</v>
      </c>
      <c r="H24" s="1">
        <v>10</v>
      </c>
      <c r="I24" s="1">
        <f t="shared" si="1"/>
        <v>20</v>
      </c>
      <c r="J24" s="2">
        <f t="shared" si="0"/>
        <v>2.932551319648094E-2</v>
      </c>
      <c r="K24" s="11"/>
    </row>
    <row r="25" spans="2:11" x14ac:dyDescent="0.3">
      <c r="B25" s="9"/>
      <c r="C25" s="23"/>
      <c r="D25" s="27"/>
      <c r="E25" s="39"/>
      <c r="F25" s="1" t="s">
        <v>37</v>
      </c>
      <c r="G25" s="1">
        <v>5</v>
      </c>
      <c r="H25" s="1">
        <v>5</v>
      </c>
      <c r="I25" s="1">
        <f t="shared" si="1"/>
        <v>10</v>
      </c>
      <c r="J25" s="2">
        <f t="shared" si="0"/>
        <v>1.466275659824047E-2</v>
      </c>
      <c r="K25" s="11"/>
    </row>
    <row r="26" spans="2:11" x14ac:dyDescent="0.3">
      <c r="B26" s="9"/>
      <c r="C26" s="22" t="s">
        <v>22</v>
      </c>
      <c r="D26" s="25">
        <v>344</v>
      </c>
      <c r="E26" s="34">
        <f>D26/I31%</f>
        <v>50.439882697947212</v>
      </c>
      <c r="F26" s="1" t="s">
        <v>34</v>
      </c>
      <c r="G26" s="1">
        <v>25</v>
      </c>
      <c r="H26" s="1">
        <v>25</v>
      </c>
      <c r="I26" s="1">
        <f t="shared" si="1"/>
        <v>50</v>
      </c>
      <c r="J26" s="2">
        <f t="shared" si="0"/>
        <v>7.331378299120235E-2</v>
      </c>
      <c r="K26" s="11"/>
    </row>
    <row r="27" spans="2:11" x14ac:dyDescent="0.3">
      <c r="B27" s="9"/>
      <c r="C27" s="23"/>
      <c r="D27" s="26"/>
      <c r="E27" s="35"/>
      <c r="F27" s="1" t="s">
        <v>35</v>
      </c>
      <c r="G27" s="1">
        <v>25</v>
      </c>
      <c r="H27" s="1">
        <v>25</v>
      </c>
      <c r="I27" s="1">
        <f t="shared" si="1"/>
        <v>50</v>
      </c>
      <c r="J27" s="2">
        <f t="shared" si="0"/>
        <v>7.331378299120235E-2</v>
      </c>
      <c r="K27" s="11"/>
    </row>
    <row r="28" spans="2:11" x14ac:dyDescent="0.3">
      <c r="B28" s="9"/>
      <c r="C28" s="23"/>
      <c r="D28" s="26"/>
      <c r="E28" s="35"/>
      <c r="F28" s="1" t="s">
        <v>38</v>
      </c>
      <c r="G28" s="1">
        <v>94</v>
      </c>
      <c r="H28" s="1">
        <v>94</v>
      </c>
      <c r="I28" s="1">
        <f t="shared" si="1"/>
        <v>188</v>
      </c>
      <c r="J28" s="2">
        <f t="shared" si="0"/>
        <v>0.2756598240469208</v>
      </c>
      <c r="K28" s="11"/>
    </row>
    <row r="29" spans="2:11" x14ac:dyDescent="0.3">
      <c r="B29" s="9"/>
      <c r="C29" s="23"/>
      <c r="D29" s="26"/>
      <c r="E29" s="35"/>
      <c r="F29" s="1" t="s">
        <v>36</v>
      </c>
      <c r="G29" s="1">
        <v>23</v>
      </c>
      <c r="H29" s="1">
        <v>23</v>
      </c>
      <c r="I29" s="1">
        <f t="shared" si="1"/>
        <v>46</v>
      </c>
      <c r="J29" s="2">
        <f t="shared" si="0"/>
        <v>6.7448680351906154E-2</v>
      </c>
      <c r="K29" s="11"/>
    </row>
    <row r="30" spans="2:11" x14ac:dyDescent="0.3">
      <c r="B30" s="9"/>
      <c r="C30" s="23"/>
      <c r="D30" s="27"/>
      <c r="E30" s="39"/>
      <c r="F30" s="1" t="s">
        <v>37</v>
      </c>
      <c r="G30" s="1">
        <v>5</v>
      </c>
      <c r="H30" s="1">
        <v>5</v>
      </c>
      <c r="I30" s="1">
        <f t="shared" si="1"/>
        <v>10</v>
      </c>
      <c r="J30" s="2">
        <f t="shared" si="0"/>
        <v>1.466275659824047E-2</v>
      </c>
      <c r="K30" s="11"/>
    </row>
    <row r="31" spans="2:11" x14ac:dyDescent="0.3">
      <c r="B31" s="9"/>
      <c r="C31" s="36" t="s">
        <v>9</v>
      </c>
      <c r="D31" s="37"/>
      <c r="E31" s="37"/>
      <c r="F31" s="38"/>
      <c r="G31" s="3">
        <f>SUM(G16:G30)</f>
        <v>341</v>
      </c>
      <c r="H31" s="3">
        <f>SUM(H16:H30)</f>
        <v>341</v>
      </c>
      <c r="I31" s="3">
        <f>SUM(I16:I30)</f>
        <v>682</v>
      </c>
      <c r="J31" s="4">
        <f>SUM(J16:J30)</f>
        <v>1.0000000000000002</v>
      </c>
      <c r="K31" s="11"/>
    </row>
    <row r="32" spans="2:11" x14ac:dyDescent="0.3">
      <c r="B32" s="12"/>
      <c r="C32" s="13"/>
      <c r="D32" s="13"/>
      <c r="E32" s="13"/>
      <c r="F32" s="13"/>
      <c r="G32" s="13"/>
      <c r="H32" s="13"/>
      <c r="I32" s="13"/>
      <c r="J32" s="18" t="s">
        <v>17</v>
      </c>
      <c r="K32" s="19"/>
    </row>
  </sheetData>
  <mergeCells count="13">
    <mergeCell ref="C26:C30"/>
    <mergeCell ref="J32:K32"/>
    <mergeCell ref="C3:J3"/>
    <mergeCell ref="C9:J10"/>
    <mergeCell ref="C16:C20"/>
    <mergeCell ref="D16:D20"/>
    <mergeCell ref="E16:E20"/>
    <mergeCell ref="C21:C25"/>
    <mergeCell ref="C31:F31"/>
    <mergeCell ref="D21:D25"/>
    <mergeCell ref="E21:E25"/>
    <mergeCell ref="D26:D30"/>
    <mergeCell ref="E26:E30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TextBox1">
          <controlPr defaultSize="0" autoLine="0" r:id="rId5">
            <anchor moveWithCells="1">
              <from>
                <xdr:col>2</xdr:col>
                <xdr:colOff>708660</xdr:colOff>
                <xdr:row>3</xdr:row>
                <xdr:rowOff>30480</xdr:rowOff>
              </from>
              <to>
                <xdr:col>3</xdr:col>
                <xdr:colOff>243840</xdr:colOff>
                <xdr:row>3</xdr:row>
                <xdr:rowOff>182880</xdr:rowOff>
              </to>
            </anchor>
          </controlPr>
        </control>
      </mc:Choice>
      <mc:Fallback>
        <control shapeId="4097" r:id="rId4" name="TextBox1"/>
      </mc:Fallback>
    </mc:AlternateContent>
    <mc:AlternateContent xmlns:mc="http://schemas.openxmlformats.org/markup-compatibility/2006">
      <mc:Choice Requires="x14">
        <control shapeId="4098" r:id="rId6" name="TextBox2">
          <controlPr defaultSize="0" autoLine="0" r:id="rId5">
            <anchor moveWithCells="1">
              <from>
                <xdr:col>8</xdr:col>
                <xdr:colOff>655320</xdr:colOff>
                <xdr:row>3</xdr:row>
                <xdr:rowOff>30480</xdr:rowOff>
              </from>
              <to>
                <xdr:col>9</xdr:col>
                <xdr:colOff>769620</xdr:colOff>
                <xdr:row>3</xdr:row>
                <xdr:rowOff>182880</xdr:rowOff>
              </to>
            </anchor>
          </controlPr>
        </control>
      </mc:Choice>
      <mc:Fallback>
        <control shapeId="4098" r:id="rId6" name="TextBox2"/>
      </mc:Fallback>
    </mc:AlternateContent>
    <mc:AlternateContent xmlns:mc="http://schemas.openxmlformats.org/markup-compatibility/2006">
      <mc:Choice Requires="x14">
        <control shapeId="4099" r:id="rId7" name="Button 3">
          <controlPr defaultSize="0" print="0" autoFill="0" autoPict="0" macro="[0]!Button3_Click">
            <anchor moveWithCells="1" sizeWithCells="1">
              <from>
                <xdr:col>9</xdr:col>
                <xdr:colOff>952500</xdr:colOff>
                <xdr:row>3</xdr:row>
                <xdr:rowOff>7620</xdr:rowOff>
              </from>
              <to>
                <xdr:col>10</xdr:col>
                <xdr:colOff>60960</xdr:colOff>
                <xdr:row>3</xdr:row>
                <xdr:rowOff>175260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4100" r:id="rId8" name="Drop Down 4">
          <controlPr defaultSize="0" autoLine="0" autoPict="0">
            <anchor moveWithCells="1">
              <from>
                <xdr:col>2</xdr:col>
                <xdr:colOff>716280</xdr:colOff>
                <xdr:row>5</xdr:row>
                <xdr:rowOff>30480</xdr:rowOff>
              </from>
              <to>
                <xdr:col>3</xdr:col>
                <xdr:colOff>259080</xdr:colOff>
                <xdr:row>5</xdr:row>
                <xdr:rowOff>160020</xdr:rowOff>
              </to>
            </anchor>
          </controlPr>
        </control>
      </mc:Choice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B2:K35"/>
  <sheetViews>
    <sheetView showGridLines="0" tabSelected="1" workbookViewId="0">
      <selection activeCell="M10" sqref="M10"/>
    </sheetView>
  </sheetViews>
  <sheetFormatPr defaultRowHeight="14.4" x14ac:dyDescent="0.3"/>
  <cols>
    <col min="2" max="2" width="4.109375" customWidth="1"/>
    <col min="3" max="3" width="29.5546875" customWidth="1"/>
    <col min="4" max="4" width="7.88671875" bestFit="1" customWidth="1"/>
    <col min="5" max="5" width="8.6640625" customWidth="1"/>
    <col min="6" max="6" width="26.109375" customWidth="1"/>
    <col min="7" max="7" width="12.33203125" customWidth="1"/>
    <col min="8" max="9" width="12.5546875" customWidth="1"/>
    <col min="10" max="10" width="20.109375" customWidth="1"/>
    <col min="11" max="11" width="3.6640625" customWidth="1"/>
  </cols>
  <sheetData>
    <row r="2" spans="2:11" ht="7.5" customHeight="1" x14ac:dyDescent="0.25">
      <c r="B2" s="6"/>
      <c r="C2" s="7"/>
      <c r="D2" s="7"/>
      <c r="E2" s="7"/>
      <c r="F2" s="7"/>
      <c r="G2" s="7"/>
      <c r="H2" s="7"/>
      <c r="I2" s="7"/>
      <c r="J2" s="7"/>
      <c r="K2" s="8"/>
    </row>
    <row r="3" spans="2:11" ht="18.75" x14ac:dyDescent="0.3">
      <c r="B3" s="9"/>
      <c r="C3" s="17" t="s">
        <v>18</v>
      </c>
      <c r="D3" s="17"/>
      <c r="E3" s="17"/>
      <c r="F3" s="17"/>
      <c r="G3" s="17"/>
      <c r="H3" s="17"/>
      <c r="I3" s="17"/>
      <c r="J3" s="17"/>
      <c r="K3" s="11"/>
    </row>
    <row r="4" spans="2:11" ht="15" x14ac:dyDescent="0.25">
      <c r="B4" s="9"/>
      <c r="C4" s="15" t="s">
        <v>11</v>
      </c>
      <c r="D4" s="15"/>
      <c r="E4" s="15"/>
      <c r="F4" s="15"/>
      <c r="G4" s="15"/>
      <c r="H4" s="15"/>
      <c r="I4" s="15" t="s">
        <v>12</v>
      </c>
      <c r="J4" s="10"/>
      <c r="K4" s="11"/>
    </row>
    <row r="5" spans="2:11" ht="7.5" customHeight="1" x14ac:dyDescent="0.25">
      <c r="B5" s="9"/>
      <c r="C5" s="15"/>
      <c r="D5" s="15"/>
      <c r="E5" s="15"/>
      <c r="F5" s="15"/>
      <c r="G5" s="15"/>
      <c r="H5" s="15"/>
      <c r="I5" s="15"/>
      <c r="J5" s="10"/>
      <c r="K5" s="11"/>
    </row>
    <row r="6" spans="2:11" ht="15" x14ac:dyDescent="0.25">
      <c r="B6" s="9"/>
      <c r="C6" s="15" t="s">
        <v>19</v>
      </c>
      <c r="D6" s="15"/>
      <c r="E6" s="15"/>
      <c r="F6" s="15"/>
      <c r="G6" s="15"/>
      <c r="H6" s="15"/>
      <c r="I6" s="15"/>
      <c r="J6" s="10"/>
      <c r="K6" s="11"/>
    </row>
    <row r="7" spans="2:11" ht="6.75" customHeight="1" x14ac:dyDescent="0.25">
      <c r="B7" s="12"/>
      <c r="C7" s="13"/>
      <c r="D7" s="13"/>
      <c r="E7" s="13"/>
      <c r="F7" s="13"/>
      <c r="G7" s="13"/>
      <c r="H7" s="13"/>
      <c r="I7" s="13"/>
      <c r="J7" s="13"/>
      <c r="K7" s="14"/>
    </row>
    <row r="8" spans="2:11" ht="8.25" customHeight="1" x14ac:dyDescent="0.25"/>
    <row r="9" spans="2:11" x14ac:dyDescent="0.3">
      <c r="B9" s="6"/>
      <c r="C9" s="20" t="s">
        <v>39</v>
      </c>
      <c r="D9" s="20"/>
      <c r="E9" s="20"/>
      <c r="F9" s="20"/>
      <c r="G9" s="20"/>
      <c r="H9" s="20"/>
      <c r="I9" s="20"/>
      <c r="J9" s="20"/>
      <c r="K9" s="8"/>
    </row>
    <row r="10" spans="2:11" ht="18.75" customHeight="1" x14ac:dyDescent="0.3">
      <c r="B10" s="9"/>
      <c r="C10" s="21"/>
      <c r="D10" s="21"/>
      <c r="E10" s="21"/>
      <c r="F10" s="21"/>
      <c r="G10" s="21"/>
      <c r="H10" s="21"/>
      <c r="I10" s="21"/>
      <c r="J10" s="21"/>
      <c r="K10" s="11"/>
    </row>
    <row r="11" spans="2:11" ht="15" x14ac:dyDescent="0.25">
      <c r="B11" s="9"/>
      <c r="C11" s="15" t="s">
        <v>13</v>
      </c>
      <c r="D11" s="15"/>
      <c r="E11" s="15"/>
      <c r="F11" s="15"/>
      <c r="G11" s="15"/>
      <c r="H11" s="15"/>
      <c r="I11" s="10"/>
      <c r="J11" s="15" t="s">
        <v>15</v>
      </c>
      <c r="K11" s="11"/>
    </row>
    <row r="12" spans="2:11" ht="15" x14ac:dyDescent="0.25">
      <c r="B12" s="9"/>
      <c r="C12" s="15" t="s">
        <v>14</v>
      </c>
      <c r="D12" s="15"/>
      <c r="E12" s="15"/>
      <c r="F12" s="15"/>
      <c r="G12" s="15"/>
      <c r="H12" s="15"/>
      <c r="I12" s="10"/>
      <c r="J12" s="15" t="s">
        <v>16</v>
      </c>
      <c r="K12" s="11"/>
    </row>
    <row r="13" spans="2:11" ht="15" x14ac:dyDescent="0.25">
      <c r="B13" s="9"/>
      <c r="C13" s="15" t="s">
        <v>32</v>
      </c>
      <c r="D13" s="15"/>
      <c r="E13" s="15"/>
      <c r="F13" s="15"/>
      <c r="G13" s="15"/>
      <c r="H13" s="15"/>
      <c r="I13" s="10"/>
      <c r="J13" s="15"/>
      <c r="K13" s="11"/>
    </row>
    <row r="14" spans="2:11" ht="7.5" customHeight="1" x14ac:dyDescent="0.25">
      <c r="B14" s="9"/>
      <c r="C14" s="10"/>
      <c r="D14" s="10"/>
      <c r="E14" s="10"/>
      <c r="F14" s="10"/>
      <c r="G14" s="10"/>
      <c r="H14" s="10"/>
      <c r="I14" s="10"/>
      <c r="J14" s="10"/>
      <c r="K14" s="11"/>
    </row>
    <row r="15" spans="2:11" ht="15" x14ac:dyDescent="0.25">
      <c r="B15" s="9"/>
      <c r="C15" s="16" t="s">
        <v>19</v>
      </c>
      <c r="D15" s="16" t="s">
        <v>25</v>
      </c>
      <c r="E15" s="16" t="s">
        <v>26</v>
      </c>
      <c r="F15" s="16" t="s">
        <v>6</v>
      </c>
      <c r="G15" s="16" t="s">
        <v>27</v>
      </c>
      <c r="H15" s="16" t="s">
        <v>28</v>
      </c>
      <c r="I15" s="16" t="s">
        <v>7</v>
      </c>
      <c r="J15" s="16" t="s">
        <v>8</v>
      </c>
      <c r="K15" s="11"/>
    </row>
    <row r="16" spans="2:11" x14ac:dyDescent="0.3">
      <c r="B16" s="9"/>
      <c r="C16" s="22" t="s">
        <v>29</v>
      </c>
      <c r="D16" s="31">
        <f>SUM(I16:I21)</f>
        <v>344</v>
      </c>
      <c r="E16" s="34">
        <f>D16/I34*100</f>
        <v>41.646489104116228</v>
      </c>
      <c r="F16" s="1" t="s">
        <v>0</v>
      </c>
      <c r="G16" s="1">
        <v>10</v>
      </c>
      <c r="H16" s="1">
        <v>10</v>
      </c>
      <c r="I16" s="1">
        <f>G16+H16</f>
        <v>20</v>
      </c>
      <c r="J16" s="2">
        <f t="shared" ref="J16:J33" si="0">I16/$I$34</f>
        <v>2.4213075060532687E-2</v>
      </c>
      <c r="K16" s="11"/>
    </row>
    <row r="17" spans="2:11" x14ac:dyDescent="0.3">
      <c r="B17" s="9"/>
      <c r="C17" s="23"/>
      <c r="D17" s="32"/>
      <c r="E17" s="35"/>
      <c r="F17" s="1" t="s">
        <v>1</v>
      </c>
      <c r="G17" s="1">
        <v>10</v>
      </c>
      <c r="H17" s="1">
        <v>10</v>
      </c>
      <c r="I17" s="1">
        <f t="shared" ref="I17:I33" si="1">G17+H17</f>
        <v>20</v>
      </c>
      <c r="J17" s="2">
        <f t="shared" si="0"/>
        <v>2.4213075060532687E-2</v>
      </c>
      <c r="K17" s="11"/>
    </row>
    <row r="18" spans="2:11" x14ac:dyDescent="0.3">
      <c r="B18" s="9"/>
      <c r="C18" s="23"/>
      <c r="D18" s="32"/>
      <c r="E18" s="35"/>
      <c r="F18" s="1" t="s">
        <v>2</v>
      </c>
      <c r="G18" s="1">
        <v>15</v>
      </c>
      <c r="H18" s="1">
        <v>15</v>
      </c>
      <c r="I18" s="1">
        <f t="shared" si="1"/>
        <v>30</v>
      </c>
      <c r="J18" s="2">
        <f t="shared" si="0"/>
        <v>3.6319612590799029E-2</v>
      </c>
      <c r="K18" s="11"/>
    </row>
    <row r="19" spans="2:11" x14ac:dyDescent="0.3">
      <c r="B19" s="9"/>
      <c r="C19" s="23"/>
      <c r="D19" s="32"/>
      <c r="E19" s="35"/>
      <c r="F19" s="1" t="s">
        <v>3</v>
      </c>
      <c r="G19" s="1">
        <v>24</v>
      </c>
      <c r="H19" s="1">
        <v>24</v>
      </c>
      <c r="I19" s="1">
        <f t="shared" si="1"/>
        <v>48</v>
      </c>
      <c r="J19" s="2">
        <f t="shared" si="0"/>
        <v>5.8111380145278453E-2</v>
      </c>
      <c r="K19" s="11"/>
    </row>
    <row r="20" spans="2:11" x14ac:dyDescent="0.3">
      <c r="B20" s="9"/>
      <c r="C20" s="23"/>
      <c r="D20" s="32"/>
      <c r="E20" s="35"/>
      <c r="F20" s="1" t="s">
        <v>4</v>
      </c>
      <c r="G20" s="1">
        <v>51</v>
      </c>
      <c r="H20" s="1">
        <v>51</v>
      </c>
      <c r="I20" s="1">
        <f t="shared" si="1"/>
        <v>102</v>
      </c>
      <c r="J20" s="2">
        <f t="shared" si="0"/>
        <v>0.12348668280871671</v>
      </c>
      <c r="K20" s="11"/>
    </row>
    <row r="21" spans="2:11" x14ac:dyDescent="0.3">
      <c r="B21" s="9"/>
      <c r="C21" s="24"/>
      <c r="D21" s="33"/>
      <c r="E21" s="39"/>
      <c r="F21" s="1" t="s">
        <v>5</v>
      </c>
      <c r="G21" s="1">
        <v>62</v>
      </c>
      <c r="H21" s="1">
        <v>62</v>
      </c>
      <c r="I21" s="1">
        <f t="shared" si="1"/>
        <v>124</v>
      </c>
      <c r="J21" s="2">
        <f t="shared" si="0"/>
        <v>0.15012106537530268</v>
      </c>
      <c r="K21" s="11"/>
    </row>
    <row r="22" spans="2:11" x14ac:dyDescent="0.3">
      <c r="B22" s="9"/>
      <c r="C22" s="22" t="s">
        <v>30</v>
      </c>
      <c r="D22" s="25">
        <f>SUM(I22:I27)</f>
        <v>134</v>
      </c>
      <c r="E22" s="34">
        <f>D22/I34*100</f>
        <v>16.222760290556902</v>
      </c>
      <c r="F22" s="1" t="s">
        <v>0</v>
      </c>
      <c r="G22" s="1">
        <v>20</v>
      </c>
      <c r="H22" s="1">
        <v>20</v>
      </c>
      <c r="I22" s="1">
        <f t="shared" si="1"/>
        <v>40</v>
      </c>
      <c r="J22" s="2">
        <f t="shared" si="0"/>
        <v>4.8426150121065374E-2</v>
      </c>
      <c r="K22" s="11"/>
    </row>
    <row r="23" spans="2:11" x14ac:dyDescent="0.3">
      <c r="B23" s="9"/>
      <c r="C23" s="23"/>
      <c r="D23" s="26"/>
      <c r="E23" s="35"/>
      <c r="F23" s="1" t="s">
        <v>1</v>
      </c>
      <c r="G23" s="1">
        <v>12</v>
      </c>
      <c r="H23" s="1">
        <v>12</v>
      </c>
      <c r="I23" s="1">
        <f t="shared" si="1"/>
        <v>24</v>
      </c>
      <c r="J23" s="2">
        <f t="shared" si="0"/>
        <v>2.9055690072639227E-2</v>
      </c>
      <c r="K23" s="11"/>
    </row>
    <row r="24" spans="2:11" x14ac:dyDescent="0.3">
      <c r="B24" s="9"/>
      <c r="C24" s="23"/>
      <c r="D24" s="26"/>
      <c r="E24" s="35"/>
      <c r="F24" s="1" t="s">
        <v>2</v>
      </c>
      <c r="G24" s="1">
        <v>12</v>
      </c>
      <c r="H24" s="1">
        <v>12</v>
      </c>
      <c r="I24" s="1">
        <f t="shared" si="1"/>
        <v>24</v>
      </c>
      <c r="J24" s="2">
        <f t="shared" si="0"/>
        <v>2.9055690072639227E-2</v>
      </c>
      <c r="K24" s="11"/>
    </row>
    <row r="25" spans="2:11" x14ac:dyDescent="0.3">
      <c r="B25" s="9"/>
      <c r="C25" s="23"/>
      <c r="D25" s="26"/>
      <c r="E25" s="35"/>
      <c r="F25" s="1" t="s">
        <v>3</v>
      </c>
      <c r="G25" s="1">
        <v>10</v>
      </c>
      <c r="H25" s="1">
        <v>10</v>
      </c>
      <c r="I25" s="1">
        <f t="shared" si="1"/>
        <v>20</v>
      </c>
      <c r="J25" s="2">
        <f t="shared" si="0"/>
        <v>2.4213075060532687E-2</v>
      </c>
      <c r="K25" s="11"/>
    </row>
    <row r="26" spans="2:11" x14ac:dyDescent="0.3">
      <c r="B26" s="9"/>
      <c r="C26" s="23"/>
      <c r="D26" s="26"/>
      <c r="E26" s="35"/>
      <c r="F26" s="1" t="s">
        <v>4</v>
      </c>
      <c r="G26" s="1">
        <v>5</v>
      </c>
      <c r="H26" s="1">
        <v>5</v>
      </c>
      <c r="I26" s="1">
        <f t="shared" si="1"/>
        <v>10</v>
      </c>
      <c r="J26" s="2">
        <f t="shared" si="0"/>
        <v>1.2106537530266344E-2</v>
      </c>
      <c r="K26" s="11"/>
    </row>
    <row r="27" spans="2:11" x14ac:dyDescent="0.3">
      <c r="B27" s="9"/>
      <c r="C27" s="24"/>
      <c r="D27" s="27"/>
      <c r="E27" s="39"/>
      <c r="F27" s="1" t="s">
        <v>5</v>
      </c>
      <c r="G27" s="1">
        <v>8</v>
      </c>
      <c r="H27" s="1">
        <v>8</v>
      </c>
      <c r="I27" s="1">
        <f t="shared" si="1"/>
        <v>16</v>
      </c>
      <c r="J27" s="2">
        <f t="shared" si="0"/>
        <v>1.9370460048426151E-2</v>
      </c>
      <c r="K27" s="11"/>
    </row>
    <row r="28" spans="2:11" x14ac:dyDescent="0.3">
      <c r="B28" s="9"/>
      <c r="C28" s="22" t="s">
        <v>31</v>
      </c>
      <c r="D28" s="25">
        <f>SUM(I28:I33)</f>
        <v>348</v>
      </c>
      <c r="E28" s="34">
        <f>D28/I34*100</f>
        <v>42.130750605326881</v>
      </c>
      <c r="F28" s="1" t="s">
        <v>0</v>
      </c>
      <c r="G28" s="1">
        <v>25</v>
      </c>
      <c r="H28" s="1">
        <v>25</v>
      </c>
      <c r="I28" s="1">
        <f t="shared" si="1"/>
        <v>50</v>
      </c>
      <c r="J28" s="2">
        <f t="shared" si="0"/>
        <v>6.0532687651331719E-2</v>
      </c>
      <c r="K28" s="11"/>
    </row>
    <row r="29" spans="2:11" x14ac:dyDescent="0.3">
      <c r="B29" s="9"/>
      <c r="C29" s="23"/>
      <c r="D29" s="26"/>
      <c r="E29" s="35"/>
      <c r="F29" s="1" t="s">
        <v>1</v>
      </c>
      <c r="G29" s="1">
        <v>25</v>
      </c>
      <c r="H29" s="1">
        <v>25</v>
      </c>
      <c r="I29" s="1">
        <f t="shared" si="1"/>
        <v>50</v>
      </c>
      <c r="J29" s="2">
        <f t="shared" si="0"/>
        <v>6.0532687651331719E-2</v>
      </c>
      <c r="K29" s="11"/>
    </row>
    <row r="30" spans="2:11" x14ac:dyDescent="0.3">
      <c r="B30" s="9"/>
      <c r="C30" s="23"/>
      <c r="D30" s="26"/>
      <c r="E30" s="35"/>
      <c r="F30" s="1" t="s">
        <v>2</v>
      </c>
      <c r="G30" s="1">
        <v>94</v>
      </c>
      <c r="H30" s="1">
        <v>94</v>
      </c>
      <c r="I30" s="1">
        <f t="shared" si="1"/>
        <v>188</v>
      </c>
      <c r="J30" s="2">
        <f t="shared" si="0"/>
        <v>0.22760290556900725</v>
      </c>
      <c r="K30" s="11"/>
    </row>
    <row r="31" spans="2:11" x14ac:dyDescent="0.3">
      <c r="B31" s="9"/>
      <c r="C31" s="23"/>
      <c r="D31" s="26"/>
      <c r="E31" s="35"/>
      <c r="F31" s="1" t="s">
        <v>3</v>
      </c>
      <c r="G31" s="1">
        <v>23</v>
      </c>
      <c r="H31" s="1">
        <v>23</v>
      </c>
      <c r="I31" s="1">
        <f t="shared" si="1"/>
        <v>46</v>
      </c>
      <c r="J31" s="2">
        <f t="shared" si="0"/>
        <v>5.569007263922518E-2</v>
      </c>
      <c r="K31" s="11"/>
    </row>
    <row r="32" spans="2:11" x14ac:dyDescent="0.3">
      <c r="B32" s="9"/>
      <c r="C32" s="23"/>
      <c r="D32" s="26"/>
      <c r="E32" s="35"/>
      <c r="F32" s="1" t="s">
        <v>4</v>
      </c>
      <c r="G32" s="1">
        <v>5</v>
      </c>
      <c r="H32" s="1">
        <v>5</v>
      </c>
      <c r="I32" s="1">
        <f t="shared" si="1"/>
        <v>10</v>
      </c>
      <c r="J32" s="2">
        <f t="shared" si="0"/>
        <v>1.2106537530266344E-2</v>
      </c>
      <c r="K32" s="11"/>
    </row>
    <row r="33" spans="2:11" x14ac:dyDescent="0.3">
      <c r="B33" s="9"/>
      <c r="C33" s="24"/>
      <c r="D33" s="27"/>
      <c r="E33" s="39"/>
      <c r="F33" s="1" t="s">
        <v>5</v>
      </c>
      <c r="G33" s="1">
        <v>2</v>
      </c>
      <c r="H33" s="1">
        <v>2</v>
      </c>
      <c r="I33" s="1">
        <f t="shared" si="1"/>
        <v>4</v>
      </c>
      <c r="J33" s="2">
        <f t="shared" si="0"/>
        <v>4.8426150121065378E-3</v>
      </c>
      <c r="K33" s="11"/>
    </row>
    <row r="34" spans="2:11" x14ac:dyDescent="0.3">
      <c r="B34" s="9"/>
      <c r="C34" s="28" t="s">
        <v>9</v>
      </c>
      <c r="D34" s="29"/>
      <c r="E34" s="29"/>
      <c r="F34" s="30"/>
      <c r="G34" s="3">
        <f t="shared" ref="G34:H34" si="2">SUM(G16:G33)</f>
        <v>413</v>
      </c>
      <c r="H34" s="3">
        <f t="shared" si="2"/>
        <v>413</v>
      </c>
      <c r="I34" s="3">
        <f>SUM(I16:I33)</f>
        <v>826</v>
      </c>
      <c r="J34" s="4">
        <f>SUM(J16:J33)</f>
        <v>1</v>
      </c>
      <c r="K34" s="11"/>
    </row>
    <row r="35" spans="2:11" x14ac:dyDescent="0.3">
      <c r="B35" s="12"/>
      <c r="C35" s="13"/>
      <c r="D35" s="13"/>
      <c r="E35" s="13"/>
      <c r="F35" s="13"/>
      <c r="G35" s="13"/>
      <c r="H35" s="13"/>
      <c r="I35" s="13"/>
      <c r="J35" s="18" t="s">
        <v>17</v>
      </c>
      <c r="K35" s="19"/>
    </row>
  </sheetData>
  <mergeCells count="13">
    <mergeCell ref="C28:C33"/>
    <mergeCell ref="J35:K35"/>
    <mergeCell ref="C3:J3"/>
    <mergeCell ref="C9:J10"/>
    <mergeCell ref="C16:C21"/>
    <mergeCell ref="D16:D21"/>
    <mergeCell ref="E16:E21"/>
    <mergeCell ref="C22:C27"/>
    <mergeCell ref="C34:F34"/>
    <mergeCell ref="D22:D27"/>
    <mergeCell ref="E22:E27"/>
    <mergeCell ref="D28:D33"/>
    <mergeCell ref="E28:E33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3073" r:id="rId4" name="TextBox1">
          <controlPr defaultSize="0" autoLine="0" r:id="rId5">
            <anchor moveWithCells="1">
              <from>
                <xdr:col>2</xdr:col>
                <xdr:colOff>708660</xdr:colOff>
                <xdr:row>3</xdr:row>
                <xdr:rowOff>30480</xdr:rowOff>
              </from>
              <to>
                <xdr:col>2</xdr:col>
                <xdr:colOff>1684020</xdr:colOff>
                <xdr:row>3</xdr:row>
                <xdr:rowOff>182880</xdr:rowOff>
              </to>
            </anchor>
          </controlPr>
        </control>
      </mc:Choice>
      <mc:Fallback>
        <control shapeId="3073" r:id="rId4" name="TextBox1"/>
      </mc:Fallback>
    </mc:AlternateContent>
    <mc:AlternateContent xmlns:mc="http://schemas.openxmlformats.org/markup-compatibility/2006">
      <mc:Choice Requires="x14">
        <control shapeId="3074" r:id="rId6" name="TextBox2">
          <controlPr defaultSize="0" autoLine="0" r:id="rId5">
            <anchor moveWithCells="1">
              <from>
                <xdr:col>8</xdr:col>
                <xdr:colOff>655320</xdr:colOff>
                <xdr:row>3</xdr:row>
                <xdr:rowOff>30480</xdr:rowOff>
              </from>
              <to>
                <xdr:col>9</xdr:col>
                <xdr:colOff>769620</xdr:colOff>
                <xdr:row>3</xdr:row>
                <xdr:rowOff>182880</xdr:rowOff>
              </to>
            </anchor>
          </controlPr>
        </control>
      </mc:Choice>
      <mc:Fallback>
        <control shapeId="3074" r:id="rId6" name="TextBox2"/>
      </mc:Fallback>
    </mc:AlternateContent>
    <mc:AlternateContent xmlns:mc="http://schemas.openxmlformats.org/markup-compatibility/2006">
      <mc:Choice Requires="x14">
        <control shapeId="3075" r:id="rId7" name="Button 3">
          <controlPr defaultSize="0" print="0" autoFill="0" autoPict="0" macro="[0]!Button3_Click">
            <anchor moveWithCells="1" sizeWithCells="1">
              <from>
                <xdr:col>9</xdr:col>
                <xdr:colOff>952500</xdr:colOff>
                <xdr:row>3</xdr:row>
                <xdr:rowOff>7620</xdr:rowOff>
              </from>
              <to>
                <xdr:col>10</xdr:col>
                <xdr:colOff>60960</xdr:colOff>
                <xdr:row>3</xdr:row>
                <xdr:rowOff>175260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076" r:id="rId8" name="Drop Down 4">
          <controlPr defaultSize="0" autoLine="0" autoPict="0">
            <anchor moveWithCells="1">
              <from>
                <xdr:col>2</xdr:col>
                <xdr:colOff>716280</xdr:colOff>
                <xdr:row>5</xdr:row>
                <xdr:rowOff>30480</xdr:rowOff>
              </from>
              <to>
                <xdr:col>2</xdr:col>
                <xdr:colOff>1661160</xdr:colOff>
                <xdr:row>5</xdr:row>
                <xdr:rowOff>160020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 Status Rpt</vt:lpstr>
      <vt:lpstr>City wise Lead Analysis</vt:lpstr>
      <vt:lpstr>Source of Info.</vt:lpstr>
      <vt:lpstr>Regional Manager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Intisar Ali Zaidi</dc:creator>
  <cp:lastModifiedBy>Hafiz Muhammad Shaukat</cp:lastModifiedBy>
  <dcterms:created xsi:type="dcterms:W3CDTF">2018-05-10T05:31:10Z</dcterms:created>
  <dcterms:modified xsi:type="dcterms:W3CDTF">2018-05-11T12:47:52Z</dcterms:modified>
</cp:coreProperties>
</file>